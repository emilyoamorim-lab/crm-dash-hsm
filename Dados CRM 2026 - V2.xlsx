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maeducacao-my.sharepoint.com/personal/emily_amorim_hsm_com_br/Documents/Documentos/2026/"/>
    </mc:Choice>
  </mc:AlternateContent>
  <xr:revisionPtr revIDLastSave="0" documentId="8_{CC59B580-11C7-4AF0-9E90-78C5D25D0FAF}" xr6:coauthVersionLast="47" xr6:coauthVersionMax="47" xr10:uidLastSave="{00000000-0000-0000-0000-000000000000}"/>
  <bookViews>
    <workbookView xWindow="-108" yWindow="-108" windowWidth="23256" windowHeight="12456" xr2:uid="{70988CB4-FD3B-45AA-9F3C-22701CE971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5" i="1" l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  <c r="M2" i="1"/>
  <c r="L2" i="1"/>
  <c r="K2" i="1"/>
  <c r="J2" i="1"/>
</calcChain>
</file>

<file path=xl/sharedStrings.xml><?xml version="1.0" encoding="utf-8"?>
<sst xmlns="http://schemas.openxmlformats.org/spreadsheetml/2006/main" count="589" uniqueCount="300">
  <si>
    <t>BU</t>
  </si>
  <si>
    <t>Produto</t>
  </si>
  <si>
    <t>Assunto</t>
  </si>
  <si>
    <t>Hora de Início do Envio</t>
  </si>
  <si>
    <t>Emails Enviados</t>
  </si>
  <si>
    <t>Emails Entregues</t>
  </si>
  <si>
    <t>Emails Abertos Únicos</t>
  </si>
  <si>
    <t>Opt-out</t>
  </si>
  <si>
    <t>Taxa de Abertura</t>
  </si>
  <si>
    <t>Taxa de Capacidade de Entrega</t>
  </si>
  <si>
    <t>Taxa de Cancelamento de Assinatura</t>
  </si>
  <si>
    <t>Taxa de Click Through Total</t>
  </si>
  <si>
    <t>Um gargalo específico da implementação de inovação</t>
  </si>
  <si>
    <t>19/03/2026 11:30:40</t>
  </si>
  <si>
    <t>Adiantando a Páscoa de IA</t>
  </si>
  <si>
    <t>19/03/2026 03:51:13</t>
  </si>
  <si>
    <t>Você estava quase lá em 2025. O programa mudou completamente.</t>
  </si>
  <si>
    <t>18/03/2026 16:15:44</t>
  </si>
  <si>
    <t>Um convite restrito: o programa que reúne os líderes que definem o futuro do Brasil</t>
  </si>
  <si>
    <t>18/03/2026 14:40:40</t>
  </si>
  <si>
    <t>Posso te pedir uma indicação rápida?</t>
  </si>
  <si>
    <t>18/03/2026 14:30:46</t>
  </si>
  <si>
    <t>Atualização importante sobre o Executive Program – Turma 17</t>
  </si>
  <si>
    <t>17/03/2026 16:45:39</t>
  </si>
  <si>
    <t>Sua equipe merece viver essa experiência!</t>
  </si>
  <si>
    <t>17/03/2026 16:00:54</t>
  </si>
  <si>
    <t>Encerrando a composição da próxima turma</t>
  </si>
  <si>
    <t>18/03/2026 10:01:00</t>
  </si>
  <si>
    <t>O que será do Brasil empresarial? </t>
  </si>
  <si>
    <t>17/03/2026 14:31:06</t>
  </si>
  <si>
    <t>Conversa sobre sua agenda estratégica para 2026</t>
  </si>
  <si>
    <t>17/03/2026 11:27:36</t>
  </si>
  <si>
    <t>Sua liderança está reagindo ou planejando?</t>
  </si>
  <si>
    <t>Conheça os experts do Executive Program</t>
  </si>
  <si>
    <t>17/03/2026 11:23:37</t>
  </si>
  <si>
    <t>Prepare-se para a Imersão: detalhes essenciais</t>
  </si>
  <si>
    <t>18/03/2026 14:00:41</t>
  </si>
  <si>
    <t>Bem-vindo a Imersão em Gestão de Pessoas by HSM!</t>
  </si>
  <si>
    <t>17/03/2026 14:00:47</t>
  </si>
  <si>
    <t>As apostas de mercado de mais de 750 C-Levels mudaram</t>
  </si>
  <si>
    <t>17/03/2026 11:30:49</t>
  </si>
  <si>
    <t>Feijoada SxSW 2026</t>
  </si>
  <si>
    <t>15/03/2026 23:38:04</t>
  </si>
  <si>
    <t>13/03/2026 18:05:34</t>
  </si>
  <si>
    <t>De que lado da bifurcação você está, %%FirstName%%</t>
  </si>
  <si>
    <t>16/03/2026 07:30:43</t>
  </si>
  <si>
    <t>Executivo que usa muita IA fica vulnerável, %%FirstName%%</t>
  </si>
  <si>
    <t>13/03/2026 15:25:46</t>
  </si>
  <si>
    <t>Última chamada, %%FirstName%%</t>
  </si>
  <si>
    <t>16/03/2026 08:00:42</t>
  </si>
  <si>
    <t>Seu time pode estar sabotando a IA sem você saber, %%FirstName%%</t>
  </si>
  <si>
    <t>13/03/2026 15:30:41</t>
  </si>
  <si>
    <t>Pesquisa de Satisfação | Learning Village</t>
  </si>
  <si>
    <t>13/03/2026 12:45:41</t>
  </si>
  <si>
    <t>Quanto da sua capacidade você já terceirizou pra IA?</t>
  </si>
  <si>
    <t>12/03/2026 17:00:38</t>
  </si>
  <si>
    <t>Seu time não vai treinar o próprio substituto.</t>
  </si>
  <si>
    <t>12/03/2026 16:45:44</t>
  </si>
  <si>
    <t>O que falta para avançarmos com essa conversa?</t>
  </si>
  <si>
    <t>12/03/2026 15:48:42</t>
  </si>
  <si>
    <t>Reajuste anual mensalidades Startups</t>
  </si>
  <si>
    <t>12/03/2026 11:15:41</t>
  </si>
  <si>
    <t>3 posições e 1 cronotipo</t>
  </si>
  <si>
    <t>12/03/2026 06:26:04</t>
  </si>
  <si>
    <t>Você já estudou IA. E agora?</t>
  </si>
  <si>
    <t>12/03/2026 08:10:43</t>
  </si>
  <si>
    <t>Sua empresa precisa inovar — ou apenas falar sobre inovação?</t>
  </si>
  <si>
    <t>12/03/2026 08:00:47</t>
  </si>
  <si>
    <t>Leia este e-mail antes da sua próxima decisão sobre IA.</t>
  </si>
  <si>
    <t>11/03/2026 16:45:42</t>
  </si>
  <si>
    <t>12/03/2026 09:30:46</t>
  </si>
  <si>
    <t>Está chegando a hora…</t>
  </si>
  <si>
    <t>11/03/2026 16:00:46</t>
  </si>
  <si>
    <t>Faltam 3 dias e você precisa ler isso antes.</t>
  </si>
  <si>
    <t>11/03/2026 15:05:47</t>
  </si>
  <si>
    <t>O que vivemos em 2024 foi só o começo…</t>
  </si>
  <si>
    <t>10/03/2026 17:30:42</t>
  </si>
  <si>
    <t>10/03/2026 17:20:56</t>
  </si>
  <si>
    <t>Veja o benefício exclusivo disponível para você.</t>
  </si>
  <si>
    <t>10/03/2026 15:01:16</t>
  </si>
  <si>
    <t>Desbloqueamos algo exclusivo pra você.</t>
  </si>
  <si>
    <t>09/03/2026 20:31:46</t>
  </si>
  <si>
    <t>Cadê você? O Jeffrey está te esperando.</t>
  </si>
  <si>
    <t>09/03/2026 19:45:45</t>
  </si>
  <si>
    <t>Começou. Entre na sala do Jeffrey!</t>
  </si>
  <si>
    <t>09/03/2026 19:28:53</t>
  </si>
  <si>
    <t>09/03/2026 19:28:42</t>
  </si>
  <si>
    <t>É hoje, às 19h30.</t>
  </si>
  <si>
    <t>09/03/2026 15:06:06</t>
  </si>
  <si>
    <t>09/03/2026 15:00:45</t>
  </si>
  <si>
    <t>Ainda existe mulher-goiabada?</t>
  </si>
  <si>
    <t>09/03/2026 00:27:04</t>
  </si>
  <si>
    <t>A conversa com um dos maiores experts da Singularity já é amanhã</t>
  </si>
  <si>
    <t>08/03/2026 15:30:46</t>
  </si>
  <si>
    <t>Novidades de Março da comunidade!</t>
  </si>
  <si>
    <t>09/03/2026 08:30:47</t>
  </si>
  <si>
    <t>O que líderes de Fortune 500 já estão discutindo sobre IA.</t>
  </si>
  <si>
    <t>06/03/2026 13:00:43</t>
  </si>
  <si>
    <t>A visão de 37 CEOs sobre o mercado em 2026</t>
  </si>
  <si>
    <t>06/03/2026 12:46:22</t>
  </si>
  <si>
    <t>Separamos um lugar pra você.</t>
  </si>
  <si>
    <t>05/03/2026 17:30:43</t>
  </si>
  <si>
    <t>3 decisões que líderes precisarão tomar em 2026</t>
  </si>
  <si>
    <t>05/03/2026 16:30:55</t>
  </si>
  <si>
    <t>Condição exclusiva para alumni da Imersão</t>
  </si>
  <si>
    <t>11/03/2026 10:01:11</t>
  </si>
  <si>
    <t>Próximo passo após a Imersão de Gestão de Pessoas</t>
  </si>
  <si>
    <t>05/03/2026 14:06:34</t>
  </si>
  <si>
    <t>Condição exclusiva para quem esteve no C-Lounge</t>
  </si>
  <si>
    <t>05/03/2026 14:30:43</t>
  </si>
  <si>
    <t>Reformas estruturais e pessoais</t>
  </si>
  <si>
    <t>05/03/2026 01:40:05</t>
  </si>
  <si>
    <t>Tudo pronto com o seu time, %%FirstName%%?</t>
  </si>
  <si>
    <t>10/03/2026 11:01:15</t>
  </si>
  <si>
    <t>10/03/2026 11:01:24</t>
  </si>
  <si>
    <t>A diferença entre acompanhar e liderar está na execução</t>
  </si>
  <si>
    <t>06/03/2026 11:01:30</t>
  </si>
  <si>
    <t>06/03/2026 11:01:23</t>
  </si>
  <si>
    <t>Impactos no varejo: mudanças que a NRF 26 revelou ao mercado</t>
  </si>
  <si>
    <t>04/03/2026 17:43:36</t>
  </si>
  <si>
    <t>04/03/2026 17:43:34</t>
  </si>
  <si>
    <t>Inovação não falha na execução. Falha na decisão.</t>
  </si>
  <si>
    <t>04/03/2026 17:20:40</t>
  </si>
  <si>
    <t>04/03/2026 17:00:42</t>
  </si>
  <si>
    <t>Podemos confirmar sua presença?</t>
  </si>
  <si>
    <t>04/03/2026 16:30:42</t>
  </si>
  <si>
    <t>10/03/2026 11:01:47</t>
  </si>
  <si>
    <t>10/03/2026 11:01:53</t>
  </si>
  <si>
    <t>06/03/2026 11:01:44</t>
  </si>
  <si>
    <t>06/03/2026 11:01:51</t>
  </si>
  <si>
    <t>04/03/2026 13:50:34</t>
  </si>
  <si>
    <t>Lições de Bernardinho formando campeões</t>
  </si>
  <si>
    <t>04/03/2026 13:15:46</t>
  </si>
  <si>
    <t>[THE UPDATE] Sua nova fonte de insights começa aqui</t>
  </si>
  <si>
    <t>04/03/2026 08:25:47</t>
  </si>
  <si>
    <t>Save the date!</t>
  </si>
  <si>
    <t>02/03/2026 17:55:40</t>
  </si>
  <si>
    <t>02/03/2026 17:20:42</t>
  </si>
  <si>
    <t>Crescimento exponencial exige liderança na mesma direção</t>
  </si>
  <si>
    <t>09/03/2026 11:01:05</t>
  </si>
  <si>
    <t>Enviar apenas um líder pode não ser suficiente</t>
  </si>
  <si>
    <t>09/03/2026 11:01:06</t>
  </si>
  <si>
    <t>Sua organização está preparada para competir em um mundo exponencial?</t>
  </si>
  <si>
    <t>02/03/2026 12:09:35</t>
  </si>
  <si>
    <t>Atualização tecnológica não prepara sua liderança para o futuro</t>
  </si>
  <si>
    <t>Tatiana Sampaio e o geopositioning”</t>
  </si>
  <si>
    <t>01/03/2026 00:08:07</t>
  </si>
  <si>
    <t>Executive Program: o programa executivo mais procurado da Singularity</t>
  </si>
  <si>
    <t>02/03/2026 08:00:42</t>
  </si>
  <si>
    <t>”Quiet ESG”</t>
  </si>
  <si>
    <t>25/02/2026 23:00:05</t>
  </si>
  <si>
    <t>Você quer entender o futuro ou construir o futuro?</t>
  </si>
  <si>
    <t>10/03/2026 10:31:27</t>
  </si>
  <si>
    <t>Crescimento linear ou exponencial?</t>
  </si>
  <si>
    <t>10/03/2026 10:31:23</t>
  </si>
  <si>
    <t>Informação não resolve. Direção resolve.</t>
  </si>
  <si>
    <t>03/03/2026 11:07:48</t>
  </si>
  <si>
    <t>O que outros programas não entregam</t>
  </si>
  <si>
    <t>03/03/2026 11:07:46</t>
  </si>
  <si>
    <t>%%FirstName%%, preciso retomar um assunto com você.</t>
  </si>
  <si>
    <t>25/02/2026 17:48:49</t>
  </si>
  <si>
    <t>Olhar para IA não é suficiente</t>
  </si>
  <si>
    <t>25/02/2026 17:49:11</t>
  </si>
  <si>
    <t>Você é um gestor autocomplacente?</t>
  </si>
  <si>
    <t>25/02/2026 16:00:46</t>
  </si>
  <si>
    <t>O que esperar da nossa conversa estratégica</t>
  </si>
  <si>
    <t>25/02/2026 15:30:41</t>
  </si>
  <si>
    <t>05/03/2026 10:01:19</t>
  </si>
  <si>
    <t>02/03/2026 10:01:22</t>
  </si>
  <si>
    <t>24/02/2026 18:08:31</t>
  </si>
  <si>
    <t>O futuro não é único. Sua estratégia é?</t>
  </si>
  <si>
    <t>24/02/2026 16:31:28</t>
  </si>
  <si>
    <t>Temos um novo encontro na Cidade do Rock!</t>
  </si>
  <si>
    <t>24/02/2026 12:01:11</t>
  </si>
  <si>
    <t>Repertório internacional muda como você é percebido</t>
  </si>
  <si>
    <t>24/02/2026 07:30:43</t>
  </si>
  <si>
    <t>Branding baseado em identidades</t>
  </si>
  <si>
    <t>20/02/2026 01:07:12</t>
  </si>
  <si>
    <t>Como desenhamos programas de inovação sob medida</t>
  </si>
  <si>
    <t>18/02/2026 16:30:45</t>
  </si>
  <si>
    <t>Efeitos de segunda ordem</t>
  </si>
  <si>
    <t>12/02/2026 00:07:26</t>
  </si>
  <si>
    <t>91% das demissões acontecem por causa disso.</t>
  </si>
  <si>
    <t>11/02/2026 16:01:00</t>
  </si>
  <si>
    <t>Toda empresa precisa criar vínculos e relações de confiança</t>
  </si>
  <si>
    <t>11/02/2026 15:01:18</t>
  </si>
  <si>
    <t>Ainda faz sentido falarmos sobre inovação?</t>
  </si>
  <si>
    <t>11/02/2026 14:00:42</t>
  </si>
  <si>
    <t>Calendário START LV | Programação dos próximos encontros</t>
  </si>
  <si>
    <t>11/02/2026 12:30:41</t>
  </si>
  <si>
    <t>Como organizações sobrevivem ao “day-trade” de atenção?</t>
  </si>
  <si>
    <t>05/02/2026 14:30:50</t>
  </si>
  <si>
    <t>A data do Liderança de Propósito mudou.</t>
  </si>
  <si>
    <t>05/02/2026 10:47:36</t>
  </si>
  <si>
    <t>Déficit de legitmidade dos líderes. E agora?</t>
  </si>
  <si>
    <t>04/02/2026 22:27:03</t>
  </si>
  <si>
    <t>Do entretenimento ao agro, C-Levels brasileiros mudam rota estratégica</t>
  </si>
  <si>
    <t>04/03/2026 14:04:26</t>
  </si>
  <si>
    <t>As 4 fases do programa executivo mais relevante do país</t>
  </si>
  <si>
    <t>18/02/2026 14:04:31</t>
  </si>
  <si>
    <t>04/02/2026 14:03:07</t>
  </si>
  <si>
    <t>[THE UPDATE]  Dados + Heart|Soul|Mind</t>
  </si>
  <si>
    <t>29/01/2026 16:41:14</t>
  </si>
  <si>
    <t>04/02/2026 08:01:14</t>
  </si>
  <si>
    <t>Os melhores líderes podem parar de evoluir</t>
  </si>
  <si>
    <t>28/01/2026 08:00:52</t>
  </si>
  <si>
    <t>Assista: HSM agora é HEART❤️ SOUL✨ MIND🧠</t>
  </si>
  <si>
    <t>26/01/2026 14:22:52</t>
  </si>
  <si>
    <t>[THE UPDATE]  Mensagens do Oscar</t>
  </si>
  <si>
    <t>23/01/2026 20:07:04</t>
  </si>
  <si>
    <t>A próxima edição do Executive Program já tem data</t>
  </si>
  <si>
    <t>20/01/2026 17:20:45</t>
  </si>
  <si>
    <t>[THE UPDATE]  NRF e líderes na era da IA</t>
  </si>
  <si>
    <t>19/01/2026 00:31:03</t>
  </si>
  <si>
    <t>Quando o conhecimento envelhece rápido demais</t>
  </si>
  <si>
    <t>27/01/2026 10:01:27</t>
  </si>
  <si>
    <t>Como simulações mudam o aprendizado corporativo</t>
  </si>
  <si>
    <t>22/01/2026 10:01:20</t>
  </si>
  <si>
    <t>Finalmente é possível personalizar o desenvolvimento da sua equipe</t>
  </si>
  <si>
    <t>20/01/2026 10:01:18</t>
  </si>
  <si>
    <t>Trouxemos um material de presente para você!</t>
  </si>
  <si>
    <t>16/01/2026 16:50:36</t>
  </si>
  <si>
    <t>Você recebeu um ebook com conteúdos exclusivos do HSM+</t>
  </si>
  <si>
    <t>15/01/2026 17:49:40</t>
  </si>
  <si>
    <t>Como formar novos líderes em tempos adversos?</t>
  </si>
  <si>
    <t>15/01/2026 10:17:51</t>
  </si>
  <si>
    <t>[THE UPDATE]  Desafios de carreira e outros</t>
  </si>
  <si>
    <t>15/01/2026 00:10:04</t>
  </si>
  <si>
    <t>[THE UPDATE] Algoritmos de 2026 - parte 3 (final)</t>
  </si>
  <si>
    <t>12/01/2026 07:30:53</t>
  </si>
  <si>
    <t>[THE UPDATE] Algoritmos de 2026 - parte 2</t>
  </si>
  <si>
    <t>08/01/2026 06:30:52</t>
  </si>
  <si>
    <t>[THE UPDATE] Algoritmos de 2026 - parte 1</t>
  </si>
  <si>
    <t>05/01/2026 21:00:54</t>
  </si>
  <si>
    <t>Seu ebook está disponível. Vamos conversar?</t>
  </si>
  <si>
    <t>02/01/2026 10:46:00</t>
  </si>
  <si>
    <t>01/01/2026 14:45:35</t>
  </si>
  <si>
    <t>02/01/2026 14:06:35</t>
  </si>
  <si>
    <t>01/01/2026 10:19:48</t>
  </si>
  <si>
    <t>O que você precisa saber antes de decidir pela pós.</t>
  </si>
  <si>
    <t>14/01/2026 11:01:24</t>
  </si>
  <si>
    <t>Veja o que você vai estudar e com quem!</t>
  </si>
  <si>
    <t>09/01/2026 11:01:07</t>
  </si>
  <si>
    <t>Está na hora de escolher seu caminho.</t>
  </si>
  <si>
    <t>15/01/2026 13:01:41</t>
  </si>
  <si>
    <t>Repense sua liderança antes que o contexto te force a isso</t>
  </si>
  <si>
    <t>08/01/2026 13:01:50</t>
  </si>
  <si>
    <t>Importante para sua organização ser líder de mercado na era da IA.</t>
  </si>
  <si>
    <t>17/03/2026 10:01:13</t>
  </si>
  <si>
    <t>Resultados em escala com IA. Como tornar isso possível?</t>
  </si>
  <si>
    <t>11/03/2026 10:01:16</t>
  </si>
  <si>
    <t>O maior desafio da IA não é técnico</t>
  </si>
  <si>
    <t>Como Inteligências Artificiais influenciam decisões estratégicas</t>
  </si>
  <si>
    <t>05/03/2026 10:02:08</t>
  </si>
  <si>
    <t>O maior desafio atual de inovação não é adotar ferramentas de IA</t>
  </si>
  <si>
    <t>10/01/2026 10:01:11</t>
  </si>
  <si>
    <t>Por que simplesmente usar IA não é suficiente</t>
  </si>
  <si>
    <t>04/01/2026 11:00:45</t>
  </si>
  <si>
    <t>Como competir em um mercado de ciclos curtos?</t>
  </si>
  <si>
    <t>16/03/2026 10:01:14</t>
  </si>
  <si>
    <t>Inovação: como sair do conceito e virar protagonista?</t>
  </si>
  <si>
    <t>10/03/2026 10:01:31</t>
  </si>
  <si>
    <t>Mercados mudam em meses. Sua empresa consegue acompanhar?</t>
  </si>
  <si>
    <t>17/01/2026 10:01:11</t>
  </si>
  <si>
    <t>A cultura da sua empresa acompanha seu projeto de inovação?</t>
  </si>
  <si>
    <t>11/01/2026 10:01:10</t>
  </si>
  <si>
    <t>O que mantém um líder relevante na era exponencial?</t>
  </si>
  <si>
    <t>02/01/2026 10:01:15</t>
  </si>
  <si>
    <t>O fator silencioso que sabota inovação em empresas</t>
  </si>
  <si>
    <t>01/01/2026 15:47:09</t>
  </si>
  <si>
    <t>Click Throughs Únicos</t>
  </si>
  <si>
    <t>Learning Village</t>
  </si>
  <si>
    <t>Fluxo E-mail</t>
  </si>
  <si>
    <t>HSM Academy</t>
  </si>
  <si>
    <t>Convite Evento</t>
  </si>
  <si>
    <t>Pós Graduação</t>
  </si>
  <si>
    <t>Calendário 2026</t>
  </si>
  <si>
    <t>HSM Cobranded</t>
  </si>
  <si>
    <t>Programas Abertos</t>
  </si>
  <si>
    <t>HSM Management</t>
  </si>
  <si>
    <t>Management - The Update</t>
  </si>
  <si>
    <t>Singularity Brazil</t>
  </si>
  <si>
    <t xml:space="preserve">News Learning Village </t>
  </si>
  <si>
    <t>Pesquisa Evento</t>
  </si>
  <si>
    <t>Aviso Residentes</t>
  </si>
  <si>
    <t>Executive Program T17</t>
  </si>
  <si>
    <t>Executive Program T16</t>
  </si>
  <si>
    <t>Rock in Rio Academy</t>
  </si>
  <si>
    <t>Management - Dossiê 171</t>
  </si>
  <si>
    <t>Nominado - Imersão em Gestão de Pessoas 24</t>
  </si>
  <si>
    <t>Live Jeffrey Rogers</t>
  </si>
  <si>
    <t>Nominado - Rock in Rio Academy</t>
  </si>
  <si>
    <t>E-book NRF</t>
  </si>
  <si>
    <t>Imersão em Gestão de Pessoas 24</t>
  </si>
  <si>
    <t>Management - The Update (Boas Vindas)</t>
  </si>
  <si>
    <t>HSM Manifesto</t>
  </si>
  <si>
    <t>Liderança de Propósito T7</t>
  </si>
  <si>
    <t>Ebook Udemy</t>
  </si>
  <si>
    <t>Ebook Andre</t>
  </si>
  <si>
    <t>Resposta 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</si>
</sst>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55560"/>
        <bgColor rgb="FF455560"/>
      </patternFill>
    </fill>
    <fill>
      <patternFill patternType="solid">
        <fgColor rgb="FFFFFFFF"/>
        <bgColor rgb="FFFFFFFF"/>
      </patternFill>
    </fill>
    <fill>
      <patternFill patternType="solid">
        <fgColor rgb="FFE5E8EA"/>
        <bgColor rgb="FFE5E8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vertical="top" readingOrder="1"/>
    </xf>
    <xf numFmtId="0" fontId="4" fillId="3" borderId="1" xfId="0" applyFont="1" applyFill="1" applyBorder="1" applyAlignment="1">
      <alignment horizontal="center" vertical="top" readingOrder="1"/>
    </xf>
    <xf numFmtId="0" fontId="4" fillId="4" borderId="1" xfId="0" applyFont="1" applyFill="1" applyBorder="1" applyAlignment="1">
      <alignment vertical="top" readingOrder="1"/>
    </xf>
    <xf numFmtId="0" fontId="4" fillId="4" borderId="1" xfId="0" applyFont="1" applyFill="1" applyBorder="1" applyAlignment="1">
      <alignment horizontal="center" vertical="top" readingOrder="1"/>
    </xf>
    <xf numFmtId="0" fontId="0" fillId="0" borderId="0" xfId="0" applyAlignment="1"/>
    <xf numFmtId="0" fontId="4" fillId="3" borderId="1" xfId="0" applyFont="1" applyFill="1" applyBorder="1" applyAlignment="1">
      <alignment horizontal="right" vertical="top" wrapText="1" readingOrder="1"/>
    </xf>
    <xf numFmtId="0" fontId="4" fillId="4" borderId="1" xfId="0" applyFont="1" applyFill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B8C0-A45B-4910-8E78-4D57E8464915}">
  <dimension ref="A1:M146"/>
  <sheetViews>
    <sheetView tabSelected="1" workbookViewId="0">
      <selection sqref="A1:B1048576"/>
    </sheetView>
  </sheetViews>
  <sheetFormatPr defaultRowHeight="14.4" x14ac:dyDescent="0.3"/>
  <cols>
    <col min="1" max="1" width="17.77734375" customWidth="1"/>
    <col min="2" max="2" width="47.33203125" style="8" customWidth="1"/>
    <col min="3" max="3" width="55.109375" style="8" bestFit="1" customWidth="1"/>
    <col min="4" max="4" width="21" style="8" customWidth="1"/>
    <col min="5" max="5" width="14" style="8" bestFit="1" customWidth="1"/>
  </cols>
  <sheetData>
    <row r="1" spans="1:13" s="1" customFormat="1" ht="40.799999999999997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11" t="s">
        <v>270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t="s">
        <v>271</v>
      </c>
      <c r="B2" s="4" t="s">
        <v>272</v>
      </c>
      <c r="C2" s="4" t="s">
        <v>12</v>
      </c>
      <c r="D2" s="5" t="s">
        <v>13</v>
      </c>
      <c r="E2" s="9">
        <v>5379</v>
      </c>
      <c r="F2" s="9">
        <v>5338</v>
      </c>
      <c r="G2" s="9">
        <v>14</v>
      </c>
      <c r="H2" s="9">
        <v>68</v>
      </c>
      <c r="I2" s="9">
        <v>0</v>
      </c>
      <c r="J2" s="12">
        <f>IFERROR(H2*100/E2/100,0)</f>
        <v>1.2641754973043318E-2</v>
      </c>
      <c r="K2" s="12">
        <f>IFERROR(F2*100/E2/100,0)</f>
        <v>0.99237776538390032</v>
      </c>
      <c r="L2" s="12">
        <f>IFERROR(I2*100/H2/100,0)</f>
        <v>0</v>
      </c>
      <c r="M2" s="12">
        <f>IFERROR(G2*100/H2/100,0)</f>
        <v>0.20588235294117649</v>
      </c>
    </row>
    <row r="3" spans="1:13" x14ac:dyDescent="0.3">
      <c r="A3" t="s">
        <v>279</v>
      </c>
      <c r="B3" s="6" t="s">
        <v>280</v>
      </c>
      <c r="C3" s="6" t="s">
        <v>14</v>
      </c>
      <c r="D3" s="7" t="s">
        <v>15</v>
      </c>
      <c r="E3" s="10">
        <v>159360</v>
      </c>
      <c r="F3" s="10">
        <v>158854</v>
      </c>
      <c r="G3" s="10">
        <v>83</v>
      </c>
      <c r="H3" s="10">
        <v>9140</v>
      </c>
      <c r="I3" s="10">
        <v>37</v>
      </c>
      <c r="J3" s="12">
        <f t="shared" ref="J3:J66" si="0">IFERROR(H3*100/E3/100,0)</f>
        <v>5.7354417670682729E-2</v>
      </c>
      <c r="K3" s="12">
        <f t="shared" ref="K3:K66" si="1">IFERROR(F3*100/E3/100,0)</f>
        <v>0.99682479919678713</v>
      </c>
      <c r="L3" s="12">
        <f t="shared" ref="L3:L66" si="2">IFERROR(I3*100/H3/100,0)</f>
        <v>4.0481400437636763E-3</v>
      </c>
      <c r="M3" s="12">
        <f t="shared" ref="M3:M66" si="3">IFERROR(G3*100/H3/100,0)</f>
        <v>9.0809628008752738E-3</v>
      </c>
    </row>
    <row r="4" spans="1:13" x14ac:dyDescent="0.3">
      <c r="A4" t="s">
        <v>281</v>
      </c>
      <c r="B4" s="4" t="s">
        <v>286</v>
      </c>
      <c r="C4" s="4" t="s">
        <v>16</v>
      </c>
      <c r="D4" s="5" t="s">
        <v>17</v>
      </c>
      <c r="E4" s="9">
        <v>1103</v>
      </c>
      <c r="F4" s="9">
        <v>1092</v>
      </c>
      <c r="G4" s="9">
        <v>38</v>
      </c>
      <c r="H4" s="9">
        <v>192</v>
      </c>
      <c r="I4" s="9">
        <v>1</v>
      </c>
      <c r="J4" s="12">
        <f t="shared" si="0"/>
        <v>0.17407071622846781</v>
      </c>
      <c r="K4" s="12">
        <f t="shared" si="1"/>
        <v>0.99002719854941068</v>
      </c>
      <c r="L4" s="12">
        <f t="shared" si="2"/>
        <v>5.2083333333333339E-3</v>
      </c>
      <c r="M4" s="12">
        <f t="shared" si="3"/>
        <v>0.19791666666666669</v>
      </c>
    </row>
    <row r="5" spans="1:13" x14ac:dyDescent="0.3">
      <c r="A5" t="s">
        <v>281</v>
      </c>
      <c r="B5" s="6" t="s">
        <v>286</v>
      </c>
      <c r="C5" s="6" t="s">
        <v>18</v>
      </c>
      <c r="D5" s="7" t="s">
        <v>19</v>
      </c>
      <c r="E5" s="10">
        <v>44</v>
      </c>
      <c r="F5" s="10">
        <v>44</v>
      </c>
      <c r="G5" s="10">
        <v>0</v>
      </c>
      <c r="H5" s="10">
        <v>8</v>
      </c>
      <c r="I5" s="10">
        <v>0</v>
      </c>
      <c r="J5" s="12">
        <f t="shared" si="0"/>
        <v>0.18181818181818182</v>
      </c>
      <c r="K5" s="12">
        <f t="shared" si="1"/>
        <v>1</v>
      </c>
      <c r="L5" s="12">
        <f t="shared" si="2"/>
        <v>0</v>
      </c>
      <c r="M5" s="12">
        <f t="shared" si="3"/>
        <v>0</v>
      </c>
    </row>
    <row r="6" spans="1:13" x14ac:dyDescent="0.3">
      <c r="A6" t="s">
        <v>281</v>
      </c>
      <c r="B6" s="4" t="s">
        <v>286</v>
      </c>
      <c r="C6" s="4" t="s">
        <v>20</v>
      </c>
      <c r="D6" s="5" t="s">
        <v>21</v>
      </c>
      <c r="E6" s="9">
        <v>656</v>
      </c>
      <c r="F6" s="9">
        <v>628</v>
      </c>
      <c r="G6" s="9">
        <v>7</v>
      </c>
      <c r="H6" s="9">
        <v>112</v>
      </c>
      <c r="I6" s="9">
        <v>1</v>
      </c>
      <c r="J6" s="12">
        <f t="shared" si="0"/>
        <v>0.17073170731707318</v>
      </c>
      <c r="K6" s="12">
        <f t="shared" si="1"/>
        <v>0.95731707317073178</v>
      </c>
      <c r="L6" s="12">
        <f t="shared" si="2"/>
        <v>8.9285714285714298E-3</v>
      </c>
      <c r="M6" s="12">
        <f t="shared" si="3"/>
        <v>6.25E-2</v>
      </c>
    </row>
    <row r="7" spans="1:13" x14ac:dyDescent="0.3">
      <c r="A7" t="s">
        <v>281</v>
      </c>
      <c r="B7" s="6" t="s">
        <v>285</v>
      </c>
      <c r="C7" s="6" t="s">
        <v>22</v>
      </c>
      <c r="D7" s="7" t="s">
        <v>23</v>
      </c>
      <c r="E7" s="10">
        <v>3</v>
      </c>
      <c r="F7" s="10">
        <v>3</v>
      </c>
      <c r="G7" s="10">
        <v>0</v>
      </c>
      <c r="H7" s="10">
        <v>1</v>
      </c>
      <c r="I7" s="10">
        <v>0</v>
      </c>
      <c r="J7" s="12">
        <f t="shared" si="0"/>
        <v>0.33333333333333337</v>
      </c>
      <c r="K7" s="12">
        <f t="shared" si="1"/>
        <v>1</v>
      </c>
      <c r="L7" s="12">
        <f t="shared" si="2"/>
        <v>0</v>
      </c>
      <c r="M7" s="12">
        <f t="shared" si="3"/>
        <v>0</v>
      </c>
    </row>
    <row r="8" spans="1:13" x14ac:dyDescent="0.3">
      <c r="A8" t="s">
        <v>277</v>
      </c>
      <c r="B8" s="4" t="s">
        <v>287</v>
      </c>
      <c r="C8" s="4" t="s">
        <v>24</v>
      </c>
      <c r="D8" s="5" t="s">
        <v>25</v>
      </c>
      <c r="E8" s="9">
        <v>88917</v>
      </c>
      <c r="F8" s="9">
        <v>88262</v>
      </c>
      <c r="G8" s="9">
        <v>90</v>
      </c>
      <c r="H8" s="9">
        <v>8531</v>
      </c>
      <c r="I8" s="9">
        <v>26</v>
      </c>
      <c r="J8" s="12">
        <f t="shared" si="0"/>
        <v>9.5943407897252489E-2</v>
      </c>
      <c r="K8" s="12">
        <f t="shared" si="1"/>
        <v>0.99263357963044185</v>
      </c>
      <c r="L8" s="12">
        <f t="shared" si="2"/>
        <v>3.047708357754073E-3</v>
      </c>
      <c r="M8" s="12">
        <f t="shared" si="3"/>
        <v>1.0549759699917947E-2</v>
      </c>
    </row>
    <row r="9" spans="1:13" x14ac:dyDescent="0.3">
      <c r="A9" t="s">
        <v>281</v>
      </c>
      <c r="B9" s="6" t="s">
        <v>286</v>
      </c>
      <c r="C9" s="6" t="s">
        <v>26</v>
      </c>
      <c r="D9" s="7" t="s">
        <v>27</v>
      </c>
      <c r="E9" s="10">
        <v>117</v>
      </c>
      <c r="F9" s="10">
        <v>111</v>
      </c>
      <c r="G9" s="10">
        <v>2</v>
      </c>
      <c r="H9" s="10">
        <v>19</v>
      </c>
      <c r="I9" s="10">
        <v>0</v>
      </c>
      <c r="J9" s="12">
        <f t="shared" si="0"/>
        <v>0.16239316239316237</v>
      </c>
      <c r="K9" s="12">
        <f t="shared" si="1"/>
        <v>0.94871794871794879</v>
      </c>
      <c r="L9" s="12">
        <f t="shared" si="2"/>
        <v>0</v>
      </c>
      <c r="M9" s="12">
        <f t="shared" si="3"/>
        <v>0.10526315789473685</v>
      </c>
    </row>
    <row r="10" spans="1:13" x14ac:dyDescent="0.3">
      <c r="A10" t="s">
        <v>279</v>
      </c>
      <c r="B10" s="4" t="s">
        <v>288</v>
      </c>
      <c r="C10" s="4" t="s">
        <v>28</v>
      </c>
      <c r="D10" s="5" t="s">
        <v>29</v>
      </c>
      <c r="E10" s="9">
        <v>174318</v>
      </c>
      <c r="F10" s="9">
        <v>173388</v>
      </c>
      <c r="G10" s="9">
        <v>406</v>
      </c>
      <c r="H10" s="9">
        <v>15409</v>
      </c>
      <c r="I10" s="9">
        <v>41</v>
      </c>
      <c r="J10" s="12">
        <f t="shared" si="0"/>
        <v>8.8395920100047043E-2</v>
      </c>
      <c r="K10" s="12">
        <f t="shared" si="1"/>
        <v>0.99466492272742912</v>
      </c>
      <c r="L10" s="12">
        <f t="shared" si="2"/>
        <v>2.6607826594847168E-3</v>
      </c>
      <c r="M10" s="12">
        <f t="shared" si="3"/>
        <v>2.6348238042702317E-2</v>
      </c>
    </row>
    <row r="11" spans="1:13" x14ac:dyDescent="0.3">
      <c r="A11" t="s">
        <v>281</v>
      </c>
      <c r="B11" s="6" t="s">
        <v>286</v>
      </c>
      <c r="C11" s="6" t="s">
        <v>30</v>
      </c>
      <c r="D11" s="7" t="s">
        <v>31</v>
      </c>
      <c r="E11" s="10">
        <v>3070</v>
      </c>
      <c r="F11" s="10">
        <v>3058</v>
      </c>
      <c r="G11" s="10">
        <v>7</v>
      </c>
      <c r="H11" s="10">
        <v>390</v>
      </c>
      <c r="I11" s="10">
        <v>2</v>
      </c>
      <c r="J11" s="12">
        <f t="shared" si="0"/>
        <v>0.12703583061889251</v>
      </c>
      <c r="K11" s="12">
        <f t="shared" si="1"/>
        <v>0.99609120521172645</v>
      </c>
      <c r="L11" s="12">
        <f t="shared" si="2"/>
        <v>5.1282051282051273E-3</v>
      </c>
      <c r="M11" s="12">
        <f t="shared" si="3"/>
        <v>1.7948717948717951E-2</v>
      </c>
    </row>
    <row r="12" spans="1:13" x14ac:dyDescent="0.3">
      <c r="A12" t="s">
        <v>281</v>
      </c>
      <c r="B12" s="4" t="s">
        <v>286</v>
      </c>
      <c r="C12" s="4" t="s">
        <v>32</v>
      </c>
      <c r="D12" s="5" t="s">
        <v>31</v>
      </c>
      <c r="E12" s="9">
        <v>3037</v>
      </c>
      <c r="F12" s="9">
        <v>3027</v>
      </c>
      <c r="G12" s="9">
        <v>8</v>
      </c>
      <c r="H12" s="9">
        <v>399</v>
      </c>
      <c r="I12" s="9">
        <v>0</v>
      </c>
      <c r="J12" s="12">
        <f t="shared" si="0"/>
        <v>0.13137965097135329</v>
      </c>
      <c r="K12" s="12">
        <f t="shared" si="1"/>
        <v>0.9967072769180112</v>
      </c>
      <c r="L12" s="12">
        <f t="shared" si="2"/>
        <v>0</v>
      </c>
      <c r="M12" s="12">
        <f t="shared" si="3"/>
        <v>2.0050125313283207E-2</v>
      </c>
    </row>
    <row r="13" spans="1:13" x14ac:dyDescent="0.3">
      <c r="A13" t="s">
        <v>281</v>
      </c>
      <c r="B13" s="6" t="s">
        <v>286</v>
      </c>
      <c r="C13" s="6" t="s">
        <v>33</v>
      </c>
      <c r="D13" s="7" t="s">
        <v>34</v>
      </c>
      <c r="E13" s="10">
        <v>3713</v>
      </c>
      <c r="F13" s="10">
        <v>3680</v>
      </c>
      <c r="G13" s="10">
        <v>26</v>
      </c>
      <c r="H13" s="10">
        <v>606</v>
      </c>
      <c r="I13" s="10">
        <v>2</v>
      </c>
      <c r="J13" s="12">
        <f t="shared" si="0"/>
        <v>0.16321034204147591</v>
      </c>
      <c r="K13" s="12">
        <f t="shared" si="1"/>
        <v>0.9911123081066523</v>
      </c>
      <c r="L13" s="12">
        <f t="shared" si="2"/>
        <v>3.3003300330033004E-3</v>
      </c>
      <c r="M13" s="12">
        <f t="shared" si="3"/>
        <v>4.2904290429042903E-2</v>
      </c>
    </row>
    <row r="14" spans="1:13" x14ac:dyDescent="0.3">
      <c r="A14" t="s">
        <v>277</v>
      </c>
      <c r="B14" s="4" t="s">
        <v>289</v>
      </c>
      <c r="C14" s="4" t="s">
        <v>35</v>
      </c>
      <c r="D14" s="5" t="s">
        <v>36</v>
      </c>
      <c r="E14" s="9">
        <v>5</v>
      </c>
      <c r="F14" s="9">
        <v>5</v>
      </c>
      <c r="G14" s="9">
        <v>0</v>
      </c>
      <c r="H14" s="9">
        <v>0</v>
      </c>
      <c r="I14" s="9">
        <v>0</v>
      </c>
      <c r="J14" s="12">
        <f t="shared" si="0"/>
        <v>0</v>
      </c>
      <c r="K14" s="12">
        <f t="shared" si="1"/>
        <v>1</v>
      </c>
      <c r="L14" s="12">
        <f t="shared" si="2"/>
        <v>0</v>
      </c>
      <c r="M14" s="12">
        <f t="shared" si="3"/>
        <v>0</v>
      </c>
    </row>
    <row r="15" spans="1:13" x14ac:dyDescent="0.3">
      <c r="A15" t="s">
        <v>277</v>
      </c>
      <c r="B15" s="6" t="s">
        <v>289</v>
      </c>
      <c r="C15" s="6" t="s">
        <v>37</v>
      </c>
      <c r="D15" s="7" t="s">
        <v>38</v>
      </c>
      <c r="E15" s="10">
        <v>5</v>
      </c>
      <c r="F15" s="10">
        <v>5</v>
      </c>
      <c r="G15" s="10">
        <v>1</v>
      </c>
      <c r="H15" s="10">
        <v>1</v>
      </c>
      <c r="I15" s="10">
        <v>0</v>
      </c>
      <c r="J15" s="12">
        <f t="shared" si="0"/>
        <v>0.2</v>
      </c>
      <c r="K15" s="12">
        <f t="shared" si="1"/>
        <v>1</v>
      </c>
      <c r="L15" s="12">
        <f t="shared" si="2"/>
        <v>0</v>
      </c>
      <c r="M15" s="12">
        <f t="shared" si="3"/>
        <v>1</v>
      </c>
    </row>
    <row r="16" spans="1:13" x14ac:dyDescent="0.3">
      <c r="A16" t="s">
        <v>281</v>
      </c>
      <c r="B16" s="4" t="s">
        <v>286</v>
      </c>
      <c r="C16" s="4" t="s">
        <v>39</v>
      </c>
      <c r="D16" s="5" t="s">
        <v>40</v>
      </c>
      <c r="E16" s="9">
        <v>13808</v>
      </c>
      <c r="F16" s="9">
        <v>13687</v>
      </c>
      <c r="G16" s="9">
        <v>56</v>
      </c>
      <c r="H16" s="9">
        <v>1705</v>
      </c>
      <c r="I16" s="9">
        <v>9</v>
      </c>
      <c r="J16" s="12">
        <f t="shared" si="0"/>
        <v>0.12347914252607184</v>
      </c>
      <c r="K16" s="12">
        <f t="shared" si="1"/>
        <v>0.99123696407879491</v>
      </c>
      <c r="L16" s="12">
        <f t="shared" si="2"/>
        <v>5.2785923753665689E-3</v>
      </c>
      <c r="M16" s="12">
        <f t="shared" si="3"/>
        <v>3.2844574780058651E-2</v>
      </c>
    </row>
    <row r="17" spans="1:13" x14ac:dyDescent="0.3">
      <c r="A17" t="s">
        <v>279</v>
      </c>
      <c r="B17" s="6" t="s">
        <v>280</v>
      </c>
      <c r="C17" s="6" t="s">
        <v>41</v>
      </c>
      <c r="D17" s="7" t="s">
        <v>42</v>
      </c>
      <c r="E17" s="10">
        <v>159637</v>
      </c>
      <c r="F17" s="10">
        <v>159003</v>
      </c>
      <c r="G17" s="10">
        <v>137</v>
      </c>
      <c r="H17" s="10">
        <v>15114</v>
      </c>
      <c r="I17" s="10">
        <v>67</v>
      </c>
      <c r="J17" s="12">
        <f t="shared" si="0"/>
        <v>9.4677299122383901E-2</v>
      </c>
      <c r="K17" s="12">
        <f t="shared" si="1"/>
        <v>0.99602848963586144</v>
      </c>
      <c r="L17" s="12">
        <f t="shared" si="2"/>
        <v>4.4329760486965727E-3</v>
      </c>
      <c r="M17" s="12">
        <f t="shared" si="3"/>
        <v>9.0644435622601553E-3</v>
      </c>
    </row>
    <row r="18" spans="1:13" x14ac:dyDescent="0.3">
      <c r="A18" t="s">
        <v>281</v>
      </c>
      <c r="B18" s="4" t="s">
        <v>285</v>
      </c>
      <c r="C18" s="4" t="s">
        <v>22</v>
      </c>
      <c r="D18" s="5" t="s">
        <v>43</v>
      </c>
      <c r="E18" s="9">
        <v>12</v>
      </c>
      <c r="F18" s="9">
        <v>12</v>
      </c>
      <c r="G18" s="9">
        <v>9</v>
      </c>
      <c r="H18" s="9">
        <v>7</v>
      </c>
      <c r="I18" s="9">
        <v>0</v>
      </c>
      <c r="J18" s="12">
        <f t="shared" si="0"/>
        <v>0.58333333333333337</v>
      </c>
      <c r="K18" s="12">
        <f t="shared" si="1"/>
        <v>1</v>
      </c>
      <c r="L18" s="12">
        <f t="shared" si="2"/>
        <v>0</v>
      </c>
      <c r="M18" s="12">
        <f t="shared" si="3"/>
        <v>1.2857142857142858</v>
      </c>
    </row>
    <row r="19" spans="1:13" x14ac:dyDescent="0.3">
      <c r="A19" t="s">
        <v>281</v>
      </c>
      <c r="B19" s="6" t="s">
        <v>290</v>
      </c>
      <c r="C19" s="6" t="s">
        <v>44</v>
      </c>
      <c r="D19" s="7" t="s">
        <v>45</v>
      </c>
      <c r="E19" s="10">
        <v>476</v>
      </c>
      <c r="F19" s="10">
        <v>467</v>
      </c>
      <c r="G19" s="10">
        <v>10</v>
      </c>
      <c r="H19" s="10">
        <v>106</v>
      </c>
      <c r="I19" s="10">
        <v>0</v>
      </c>
      <c r="J19" s="12">
        <f t="shared" si="0"/>
        <v>0.22268907563025209</v>
      </c>
      <c r="K19" s="12">
        <f t="shared" si="1"/>
        <v>0.98109243697478987</v>
      </c>
      <c r="L19" s="12">
        <f t="shared" si="2"/>
        <v>0</v>
      </c>
      <c r="M19" s="12">
        <f t="shared" si="3"/>
        <v>9.4339622641509441E-2</v>
      </c>
    </row>
    <row r="20" spans="1:13" x14ac:dyDescent="0.3">
      <c r="A20" t="s">
        <v>281</v>
      </c>
      <c r="B20" s="4" t="s">
        <v>290</v>
      </c>
      <c r="C20" s="4" t="s">
        <v>46</v>
      </c>
      <c r="D20" s="5" t="s">
        <v>47</v>
      </c>
      <c r="E20" s="9">
        <v>478</v>
      </c>
      <c r="F20" s="9">
        <v>469</v>
      </c>
      <c r="G20" s="9">
        <v>22</v>
      </c>
      <c r="H20" s="9">
        <v>120</v>
      </c>
      <c r="I20" s="9">
        <v>3</v>
      </c>
      <c r="J20" s="12">
        <f t="shared" si="0"/>
        <v>0.2510460251046025</v>
      </c>
      <c r="K20" s="12">
        <f t="shared" si="1"/>
        <v>0.98117154811715479</v>
      </c>
      <c r="L20" s="12">
        <f t="shared" si="2"/>
        <v>2.5000000000000001E-2</v>
      </c>
      <c r="M20" s="12">
        <f t="shared" si="3"/>
        <v>0.18333333333333332</v>
      </c>
    </row>
    <row r="21" spans="1:13" x14ac:dyDescent="0.3">
      <c r="A21" t="s">
        <v>281</v>
      </c>
      <c r="B21" s="6" t="s">
        <v>290</v>
      </c>
      <c r="C21" s="6" t="s">
        <v>48</v>
      </c>
      <c r="D21" s="7" t="s">
        <v>49</v>
      </c>
      <c r="E21" s="10">
        <v>36</v>
      </c>
      <c r="F21" s="10">
        <v>32</v>
      </c>
      <c r="G21" s="10">
        <v>2</v>
      </c>
      <c r="H21" s="10">
        <v>10</v>
      </c>
      <c r="I21" s="10">
        <v>1</v>
      </c>
      <c r="J21" s="12">
        <f t="shared" si="0"/>
        <v>0.27777777777777779</v>
      </c>
      <c r="K21" s="12">
        <f t="shared" si="1"/>
        <v>0.88888888888888884</v>
      </c>
      <c r="L21" s="12">
        <f t="shared" si="2"/>
        <v>0.1</v>
      </c>
      <c r="M21" s="12">
        <f t="shared" si="3"/>
        <v>0.2</v>
      </c>
    </row>
    <row r="22" spans="1:13" x14ac:dyDescent="0.3">
      <c r="A22" t="s">
        <v>281</v>
      </c>
      <c r="B22" s="4" t="s">
        <v>290</v>
      </c>
      <c r="C22" s="4" t="s">
        <v>50</v>
      </c>
      <c r="D22" s="5" t="s">
        <v>51</v>
      </c>
      <c r="E22" s="9">
        <v>34</v>
      </c>
      <c r="F22" s="9">
        <v>30</v>
      </c>
      <c r="G22" s="9">
        <v>1</v>
      </c>
      <c r="H22" s="9">
        <v>8</v>
      </c>
      <c r="I22" s="9">
        <v>1</v>
      </c>
      <c r="J22" s="12">
        <f t="shared" si="0"/>
        <v>0.23529411764705885</v>
      </c>
      <c r="K22" s="12">
        <f t="shared" si="1"/>
        <v>0.88235294117647056</v>
      </c>
      <c r="L22" s="12">
        <f t="shared" si="2"/>
        <v>0.125</v>
      </c>
      <c r="M22" s="12">
        <f t="shared" si="3"/>
        <v>0.125</v>
      </c>
    </row>
    <row r="23" spans="1:13" x14ac:dyDescent="0.3">
      <c r="A23" t="s">
        <v>271</v>
      </c>
      <c r="B23" s="6" t="s">
        <v>283</v>
      </c>
      <c r="C23" s="6" t="s">
        <v>52</v>
      </c>
      <c r="D23" s="7" t="s">
        <v>53</v>
      </c>
      <c r="E23" s="10">
        <v>45</v>
      </c>
      <c r="F23" s="10">
        <v>45</v>
      </c>
      <c r="G23" s="10">
        <v>7</v>
      </c>
      <c r="H23" s="10">
        <v>18</v>
      </c>
      <c r="I23" s="10">
        <v>0</v>
      </c>
      <c r="J23" s="12">
        <f t="shared" si="0"/>
        <v>0.4</v>
      </c>
      <c r="K23" s="12">
        <f t="shared" si="1"/>
        <v>1</v>
      </c>
      <c r="L23" s="12">
        <f t="shared" si="2"/>
        <v>0</v>
      </c>
      <c r="M23" s="12">
        <f t="shared" si="3"/>
        <v>0.38888888888888884</v>
      </c>
    </row>
    <row r="24" spans="1:13" x14ac:dyDescent="0.3">
      <c r="A24" t="s">
        <v>281</v>
      </c>
      <c r="B24" s="4" t="s">
        <v>290</v>
      </c>
      <c r="C24" s="4" t="s">
        <v>54</v>
      </c>
      <c r="D24" s="5" t="s">
        <v>55</v>
      </c>
      <c r="E24" s="9">
        <v>34</v>
      </c>
      <c r="F24" s="9">
        <v>30</v>
      </c>
      <c r="G24" s="9">
        <v>1</v>
      </c>
      <c r="H24" s="9">
        <v>10</v>
      </c>
      <c r="I24" s="9">
        <v>0</v>
      </c>
      <c r="J24" s="12">
        <f t="shared" si="0"/>
        <v>0.29411764705882354</v>
      </c>
      <c r="K24" s="12">
        <f t="shared" si="1"/>
        <v>0.88235294117647056</v>
      </c>
      <c r="L24" s="12">
        <f t="shared" si="2"/>
        <v>0</v>
      </c>
      <c r="M24" s="12">
        <f t="shared" si="3"/>
        <v>0.1</v>
      </c>
    </row>
    <row r="25" spans="1:13" x14ac:dyDescent="0.3">
      <c r="A25" t="s">
        <v>281</v>
      </c>
      <c r="B25" s="6" t="s">
        <v>290</v>
      </c>
      <c r="C25" s="6" t="s">
        <v>56</v>
      </c>
      <c r="D25" s="7" t="s">
        <v>57</v>
      </c>
      <c r="E25" s="10">
        <v>478</v>
      </c>
      <c r="F25" s="10">
        <v>469</v>
      </c>
      <c r="G25" s="10">
        <v>12</v>
      </c>
      <c r="H25" s="10">
        <v>112</v>
      </c>
      <c r="I25" s="10">
        <v>2</v>
      </c>
      <c r="J25" s="12">
        <f t="shared" si="0"/>
        <v>0.23430962343096234</v>
      </c>
      <c r="K25" s="12">
        <f t="shared" si="1"/>
        <v>0.98117154811715479</v>
      </c>
      <c r="L25" s="12">
        <f t="shared" si="2"/>
        <v>1.785714285714286E-2</v>
      </c>
      <c r="M25" s="12">
        <f t="shared" si="3"/>
        <v>0.10714285714285714</v>
      </c>
    </row>
    <row r="26" spans="1:13" x14ac:dyDescent="0.3">
      <c r="A26" t="s">
        <v>281</v>
      </c>
      <c r="B26" s="4" t="s">
        <v>286</v>
      </c>
      <c r="C26" s="4" t="s">
        <v>58</v>
      </c>
      <c r="D26" s="5" t="s">
        <v>59</v>
      </c>
      <c r="E26" s="9">
        <v>23</v>
      </c>
      <c r="F26" s="9">
        <v>23</v>
      </c>
      <c r="G26" s="9">
        <v>1</v>
      </c>
      <c r="H26" s="9">
        <v>11</v>
      </c>
      <c r="I26" s="9">
        <v>0</v>
      </c>
      <c r="J26" s="12">
        <f t="shared" si="0"/>
        <v>0.47826086956521741</v>
      </c>
      <c r="K26" s="12">
        <f t="shared" si="1"/>
        <v>1</v>
      </c>
      <c r="L26" s="12">
        <f t="shared" si="2"/>
        <v>0</v>
      </c>
      <c r="M26" s="12">
        <f t="shared" si="3"/>
        <v>9.0909090909090912E-2</v>
      </c>
    </row>
    <row r="27" spans="1:13" x14ac:dyDescent="0.3">
      <c r="A27" t="s">
        <v>271</v>
      </c>
      <c r="B27" s="6" t="s">
        <v>284</v>
      </c>
      <c r="C27" s="6" t="s">
        <v>60</v>
      </c>
      <c r="D27" s="7" t="s">
        <v>61</v>
      </c>
      <c r="E27" s="10">
        <v>27</v>
      </c>
      <c r="F27" s="10">
        <v>27</v>
      </c>
      <c r="G27" s="10">
        <v>0</v>
      </c>
      <c r="H27" s="10">
        <v>14</v>
      </c>
      <c r="I27" s="10">
        <v>0</v>
      </c>
      <c r="J27" s="12">
        <f t="shared" si="0"/>
        <v>0.5185185185185186</v>
      </c>
      <c r="K27" s="12">
        <f t="shared" si="1"/>
        <v>1</v>
      </c>
      <c r="L27" s="12">
        <f t="shared" si="2"/>
        <v>0</v>
      </c>
      <c r="M27" s="12">
        <f t="shared" si="3"/>
        <v>0</v>
      </c>
    </row>
    <row r="28" spans="1:13" x14ac:dyDescent="0.3">
      <c r="A28" t="s">
        <v>279</v>
      </c>
      <c r="B28" s="4" t="s">
        <v>280</v>
      </c>
      <c r="C28" s="4" t="s">
        <v>62</v>
      </c>
      <c r="D28" s="5" t="s">
        <v>63</v>
      </c>
      <c r="E28" s="9">
        <v>159817</v>
      </c>
      <c r="F28" s="9">
        <v>159251</v>
      </c>
      <c r="G28" s="9">
        <v>155</v>
      </c>
      <c r="H28" s="9">
        <v>14014</v>
      </c>
      <c r="I28" s="9">
        <v>69</v>
      </c>
      <c r="J28" s="12">
        <f t="shared" si="0"/>
        <v>8.7687792913144408E-2</v>
      </c>
      <c r="K28" s="12">
        <f t="shared" si="1"/>
        <v>0.99645844935144567</v>
      </c>
      <c r="L28" s="12">
        <f t="shared" si="2"/>
        <v>4.9236477807906385E-3</v>
      </c>
      <c r="M28" s="12">
        <f t="shared" si="3"/>
        <v>1.1060368203225346E-2</v>
      </c>
    </row>
    <row r="29" spans="1:13" x14ac:dyDescent="0.3">
      <c r="A29" t="s">
        <v>281</v>
      </c>
      <c r="B29" s="6" t="s">
        <v>286</v>
      </c>
      <c r="C29" s="6" t="s">
        <v>64</v>
      </c>
      <c r="D29" s="7" t="s">
        <v>65</v>
      </c>
      <c r="E29" s="10">
        <v>63</v>
      </c>
      <c r="F29" s="10">
        <v>62</v>
      </c>
      <c r="G29" s="10">
        <v>1</v>
      </c>
      <c r="H29" s="10">
        <v>13</v>
      </c>
      <c r="I29" s="10">
        <v>0</v>
      </c>
      <c r="J29" s="12">
        <f t="shared" si="0"/>
        <v>0.20634920634920637</v>
      </c>
      <c r="K29" s="12">
        <f t="shared" si="1"/>
        <v>0.98412698412698418</v>
      </c>
      <c r="L29" s="12">
        <f t="shared" si="2"/>
        <v>0</v>
      </c>
      <c r="M29" s="12">
        <f t="shared" si="3"/>
        <v>7.6923076923076927E-2</v>
      </c>
    </row>
    <row r="30" spans="1:13" x14ac:dyDescent="0.3">
      <c r="A30" t="s">
        <v>271</v>
      </c>
      <c r="B30" s="4" t="s">
        <v>272</v>
      </c>
      <c r="C30" s="4" t="s">
        <v>66</v>
      </c>
      <c r="D30" s="5" t="s">
        <v>67</v>
      </c>
      <c r="E30" s="9">
        <v>11563</v>
      </c>
      <c r="F30" s="9">
        <v>11414</v>
      </c>
      <c r="G30" s="9">
        <v>56</v>
      </c>
      <c r="H30" s="9">
        <v>1800</v>
      </c>
      <c r="I30" s="9">
        <v>37</v>
      </c>
      <c r="J30" s="12">
        <f t="shared" si="0"/>
        <v>0.15566894404566289</v>
      </c>
      <c r="K30" s="12">
        <f t="shared" si="1"/>
        <v>0.98711407074288671</v>
      </c>
      <c r="L30" s="12">
        <f t="shared" si="2"/>
        <v>2.0555555555555553E-2</v>
      </c>
      <c r="M30" s="12">
        <f t="shared" si="3"/>
        <v>3.111111111111111E-2</v>
      </c>
    </row>
    <row r="31" spans="1:13" x14ac:dyDescent="0.3">
      <c r="A31" t="s">
        <v>281</v>
      </c>
      <c r="B31" s="6" t="s">
        <v>290</v>
      </c>
      <c r="C31" s="6" t="s">
        <v>68</v>
      </c>
      <c r="D31" s="7" t="s">
        <v>69</v>
      </c>
      <c r="E31" s="10">
        <v>18018</v>
      </c>
      <c r="F31" s="10">
        <v>17854</v>
      </c>
      <c r="G31" s="10">
        <v>83</v>
      </c>
      <c r="H31" s="10">
        <v>2582</v>
      </c>
      <c r="I31" s="10">
        <v>15</v>
      </c>
      <c r="J31" s="12">
        <f t="shared" si="0"/>
        <v>0.1433011433011433</v>
      </c>
      <c r="K31" s="12">
        <f t="shared" si="1"/>
        <v>0.99089799089799091</v>
      </c>
      <c r="L31" s="12">
        <f t="shared" si="2"/>
        <v>5.8094500387296669E-3</v>
      </c>
      <c r="M31" s="12">
        <f t="shared" si="3"/>
        <v>3.2145623547637489E-2</v>
      </c>
    </row>
    <row r="32" spans="1:13" x14ac:dyDescent="0.3">
      <c r="A32" t="s">
        <v>277</v>
      </c>
      <c r="B32" s="4" t="s">
        <v>289</v>
      </c>
      <c r="C32" s="4" t="s">
        <v>35</v>
      </c>
      <c r="D32" s="5" t="s">
        <v>70</v>
      </c>
      <c r="E32" s="9">
        <v>15</v>
      </c>
      <c r="F32" s="9">
        <v>15</v>
      </c>
      <c r="G32" s="9">
        <v>4</v>
      </c>
      <c r="H32" s="9">
        <v>6</v>
      </c>
      <c r="I32" s="9">
        <v>0</v>
      </c>
      <c r="J32" s="12">
        <f t="shared" si="0"/>
        <v>0.4</v>
      </c>
      <c r="K32" s="12">
        <f t="shared" si="1"/>
        <v>1</v>
      </c>
      <c r="L32" s="12">
        <f t="shared" si="2"/>
        <v>0</v>
      </c>
      <c r="M32" s="12">
        <f t="shared" si="3"/>
        <v>0.66666666666666674</v>
      </c>
    </row>
    <row r="33" spans="1:13" x14ac:dyDescent="0.3">
      <c r="A33" t="s">
        <v>277</v>
      </c>
      <c r="B33" s="6" t="s">
        <v>291</v>
      </c>
      <c r="C33" s="6" t="s">
        <v>71</v>
      </c>
      <c r="D33" s="7" t="s">
        <v>72</v>
      </c>
      <c r="E33" s="10">
        <v>7</v>
      </c>
      <c r="F33" s="10">
        <v>7</v>
      </c>
      <c r="G33" s="10">
        <v>2</v>
      </c>
      <c r="H33" s="10">
        <v>2</v>
      </c>
      <c r="I33" s="10">
        <v>0</v>
      </c>
      <c r="J33" s="12">
        <f t="shared" si="0"/>
        <v>0.28571428571428575</v>
      </c>
      <c r="K33" s="12">
        <f t="shared" si="1"/>
        <v>1</v>
      </c>
      <c r="L33" s="12">
        <f t="shared" si="2"/>
        <v>0</v>
      </c>
      <c r="M33" s="12">
        <f t="shared" si="3"/>
        <v>1</v>
      </c>
    </row>
    <row r="34" spans="1:13" x14ac:dyDescent="0.3">
      <c r="A34" t="s">
        <v>281</v>
      </c>
      <c r="B34" s="4" t="s">
        <v>290</v>
      </c>
      <c r="C34" s="4" t="s">
        <v>73</v>
      </c>
      <c r="D34" s="5" t="s">
        <v>74</v>
      </c>
      <c r="E34" s="9">
        <v>477</v>
      </c>
      <c r="F34" s="9">
        <v>468</v>
      </c>
      <c r="G34" s="9">
        <v>4</v>
      </c>
      <c r="H34" s="9">
        <v>118</v>
      </c>
      <c r="I34" s="9">
        <v>0</v>
      </c>
      <c r="J34" s="12">
        <f t="shared" si="0"/>
        <v>0.24737945492662472</v>
      </c>
      <c r="K34" s="12">
        <f t="shared" si="1"/>
        <v>0.98113207547169812</v>
      </c>
      <c r="L34" s="12">
        <f t="shared" si="2"/>
        <v>0</v>
      </c>
      <c r="M34" s="12">
        <f t="shared" si="3"/>
        <v>3.3898305084745763E-2</v>
      </c>
    </row>
    <row r="35" spans="1:13" x14ac:dyDescent="0.3">
      <c r="A35" t="s">
        <v>277</v>
      </c>
      <c r="B35" s="6" t="s">
        <v>291</v>
      </c>
      <c r="C35" s="6" t="s">
        <v>75</v>
      </c>
      <c r="D35" s="7" t="s">
        <v>76</v>
      </c>
      <c r="E35" s="10">
        <v>11</v>
      </c>
      <c r="F35" s="10">
        <v>11</v>
      </c>
      <c r="G35" s="10">
        <v>0</v>
      </c>
      <c r="H35" s="10">
        <v>3</v>
      </c>
      <c r="I35" s="10">
        <v>0</v>
      </c>
      <c r="J35" s="12">
        <f t="shared" si="0"/>
        <v>0.27272727272727271</v>
      </c>
      <c r="K35" s="12">
        <f t="shared" si="1"/>
        <v>1</v>
      </c>
      <c r="L35" s="12">
        <f t="shared" si="2"/>
        <v>0</v>
      </c>
      <c r="M35" s="12">
        <f t="shared" si="3"/>
        <v>0</v>
      </c>
    </row>
    <row r="36" spans="1:13" x14ac:dyDescent="0.3">
      <c r="A36" t="s">
        <v>277</v>
      </c>
      <c r="B36" s="4" t="s">
        <v>287</v>
      </c>
      <c r="C36" s="4" t="s">
        <v>75</v>
      </c>
      <c r="D36" s="5" t="s">
        <v>77</v>
      </c>
      <c r="E36" s="9">
        <v>89202</v>
      </c>
      <c r="F36" s="9">
        <v>88732</v>
      </c>
      <c r="G36" s="9">
        <v>90</v>
      </c>
      <c r="H36" s="9">
        <v>9761</v>
      </c>
      <c r="I36" s="9">
        <v>41</v>
      </c>
      <c r="J36" s="12">
        <f t="shared" si="0"/>
        <v>0.10942579762785588</v>
      </c>
      <c r="K36" s="12">
        <f t="shared" si="1"/>
        <v>0.99473105984170762</v>
      </c>
      <c r="L36" s="12">
        <f t="shared" si="2"/>
        <v>4.2003893043745513E-3</v>
      </c>
      <c r="M36" s="12">
        <f t="shared" si="3"/>
        <v>9.2203667657002348E-3</v>
      </c>
    </row>
    <row r="37" spans="1:13" x14ac:dyDescent="0.3">
      <c r="A37" t="s">
        <v>281</v>
      </c>
      <c r="B37" s="6" t="s">
        <v>290</v>
      </c>
      <c r="C37" s="6" t="s">
        <v>78</v>
      </c>
      <c r="D37" s="7" t="s">
        <v>79</v>
      </c>
      <c r="E37" s="10">
        <v>345</v>
      </c>
      <c r="F37" s="10">
        <v>336</v>
      </c>
      <c r="G37" s="10">
        <v>26</v>
      </c>
      <c r="H37" s="10">
        <v>53</v>
      </c>
      <c r="I37" s="10">
        <v>0</v>
      </c>
      <c r="J37" s="12">
        <f t="shared" si="0"/>
        <v>0.15362318840579711</v>
      </c>
      <c r="K37" s="12">
        <f t="shared" si="1"/>
        <v>0.97391304347826091</v>
      </c>
      <c r="L37" s="12">
        <f t="shared" si="2"/>
        <v>0</v>
      </c>
      <c r="M37" s="12">
        <f t="shared" si="3"/>
        <v>0.49056603773584906</v>
      </c>
    </row>
    <row r="38" spans="1:13" x14ac:dyDescent="0.3">
      <c r="A38" t="s">
        <v>281</v>
      </c>
      <c r="B38" s="4" t="s">
        <v>290</v>
      </c>
      <c r="C38" s="4" t="s">
        <v>80</v>
      </c>
      <c r="D38" s="5" t="s">
        <v>81</v>
      </c>
      <c r="E38" s="9">
        <v>473</v>
      </c>
      <c r="F38" s="9">
        <v>464</v>
      </c>
      <c r="G38" s="9">
        <v>62</v>
      </c>
      <c r="H38" s="9">
        <v>145</v>
      </c>
      <c r="I38" s="9">
        <v>0</v>
      </c>
      <c r="J38" s="12">
        <f t="shared" si="0"/>
        <v>0.30655391120507397</v>
      </c>
      <c r="K38" s="12">
        <f t="shared" si="1"/>
        <v>0.98097251585623679</v>
      </c>
      <c r="L38" s="12">
        <f t="shared" si="2"/>
        <v>0</v>
      </c>
      <c r="M38" s="12">
        <f t="shared" si="3"/>
        <v>0.42758620689655175</v>
      </c>
    </row>
    <row r="39" spans="1:13" x14ac:dyDescent="0.3">
      <c r="A39" t="s">
        <v>281</v>
      </c>
      <c r="B39" s="6" t="s">
        <v>290</v>
      </c>
      <c r="C39" s="6" t="s">
        <v>82</v>
      </c>
      <c r="D39" s="7" t="s">
        <v>83</v>
      </c>
      <c r="E39" s="10">
        <v>462</v>
      </c>
      <c r="F39" s="10">
        <v>455</v>
      </c>
      <c r="G39" s="10">
        <v>75</v>
      </c>
      <c r="H39" s="10">
        <v>131</v>
      </c>
      <c r="I39" s="10">
        <v>2</v>
      </c>
      <c r="J39" s="12">
        <f t="shared" si="0"/>
        <v>0.28354978354978355</v>
      </c>
      <c r="K39" s="12">
        <f t="shared" si="1"/>
        <v>0.98484848484848486</v>
      </c>
      <c r="L39" s="12">
        <f t="shared" si="2"/>
        <v>1.5267175572519085E-2</v>
      </c>
      <c r="M39" s="12">
        <f t="shared" si="3"/>
        <v>0.57251908396946571</v>
      </c>
    </row>
    <row r="40" spans="1:13" x14ac:dyDescent="0.3">
      <c r="A40" t="s">
        <v>281</v>
      </c>
      <c r="B40" s="4" t="s">
        <v>290</v>
      </c>
      <c r="C40" s="4" t="s">
        <v>82</v>
      </c>
      <c r="D40" s="5" t="s">
        <v>83</v>
      </c>
      <c r="E40" s="9">
        <v>18067</v>
      </c>
      <c r="F40" s="9">
        <v>17909</v>
      </c>
      <c r="G40" s="9">
        <v>830</v>
      </c>
      <c r="H40" s="9">
        <v>2874</v>
      </c>
      <c r="I40" s="9">
        <v>27</v>
      </c>
      <c r="J40" s="12">
        <f t="shared" si="0"/>
        <v>0.15907455582000332</v>
      </c>
      <c r="K40" s="12">
        <f t="shared" si="1"/>
        <v>0.99125477389716055</v>
      </c>
      <c r="L40" s="12">
        <f t="shared" si="2"/>
        <v>9.3945720250521933E-3</v>
      </c>
      <c r="M40" s="12">
        <f t="shared" si="3"/>
        <v>0.28879610299234515</v>
      </c>
    </row>
    <row r="41" spans="1:13" x14ac:dyDescent="0.3">
      <c r="A41" t="s">
        <v>281</v>
      </c>
      <c r="B41" s="6" t="s">
        <v>290</v>
      </c>
      <c r="C41" s="6" t="s">
        <v>84</v>
      </c>
      <c r="D41" s="7" t="s">
        <v>85</v>
      </c>
      <c r="E41" s="10">
        <v>459</v>
      </c>
      <c r="F41" s="10">
        <v>452</v>
      </c>
      <c r="G41" s="10">
        <v>113</v>
      </c>
      <c r="H41" s="10">
        <v>146</v>
      </c>
      <c r="I41" s="10">
        <v>0</v>
      </c>
      <c r="J41" s="12">
        <f t="shared" si="0"/>
        <v>0.31808278867102396</v>
      </c>
      <c r="K41" s="12">
        <f t="shared" si="1"/>
        <v>0.98474945533769054</v>
      </c>
      <c r="L41" s="12">
        <f t="shared" si="2"/>
        <v>0</v>
      </c>
      <c r="M41" s="12">
        <f t="shared" si="3"/>
        <v>0.77397260273972601</v>
      </c>
    </row>
    <row r="42" spans="1:13" x14ac:dyDescent="0.3">
      <c r="A42" t="s">
        <v>281</v>
      </c>
      <c r="B42" s="4" t="s">
        <v>290</v>
      </c>
      <c r="C42" s="4" t="s">
        <v>84</v>
      </c>
      <c r="D42" s="5" t="s">
        <v>86</v>
      </c>
      <c r="E42" s="9">
        <v>18070</v>
      </c>
      <c r="F42" s="9">
        <v>17913</v>
      </c>
      <c r="G42" s="9">
        <v>1147</v>
      </c>
      <c r="H42" s="9">
        <v>2977</v>
      </c>
      <c r="I42" s="9">
        <v>18</v>
      </c>
      <c r="J42" s="12">
        <f t="shared" si="0"/>
        <v>0.16474820143884891</v>
      </c>
      <c r="K42" s="12">
        <f t="shared" si="1"/>
        <v>0.99131156613171001</v>
      </c>
      <c r="L42" s="12">
        <f t="shared" si="2"/>
        <v>6.0463553913335574E-3</v>
      </c>
      <c r="M42" s="12">
        <f t="shared" si="3"/>
        <v>0.38528720188108834</v>
      </c>
    </row>
    <row r="43" spans="1:13" x14ac:dyDescent="0.3">
      <c r="A43" t="s">
        <v>281</v>
      </c>
      <c r="B43" s="6" t="s">
        <v>290</v>
      </c>
      <c r="C43" s="6" t="s">
        <v>87</v>
      </c>
      <c r="D43" s="7" t="s">
        <v>88</v>
      </c>
      <c r="E43" s="10">
        <v>251</v>
      </c>
      <c r="F43" s="10">
        <v>241</v>
      </c>
      <c r="G43" s="10">
        <v>65</v>
      </c>
      <c r="H43" s="10">
        <v>75</v>
      </c>
      <c r="I43" s="10">
        <v>1</v>
      </c>
      <c r="J43" s="12">
        <f t="shared" si="0"/>
        <v>0.29880478087649398</v>
      </c>
      <c r="K43" s="12">
        <f t="shared" si="1"/>
        <v>0.96015936254980072</v>
      </c>
      <c r="L43" s="12">
        <f t="shared" si="2"/>
        <v>1.3333333333333332E-2</v>
      </c>
      <c r="M43" s="12">
        <f t="shared" si="3"/>
        <v>0.8666666666666667</v>
      </c>
    </row>
    <row r="44" spans="1:13" x14ac:dyDescent="0.3">
      <c r="A44" t="s">
        <v>281</v>
      </c>
      <c r="B44" s="4" t="s">
        <v>290</v>
      </c>
      <c r="C44" s="4" t="s">
        <v>87</v>
      </c>
      <c r="D44" s="5" t="s">
        <v>89</v>
      </c>
      <c r="E44" s="9">
        <v>17865</v>
      </c>
      <c r="F44" s="9">
        <v>17716</v>
      </c>
      <c r="G44" s="9">
        <v>656</v>
      </c>
      <c r="H44" s="9">
        <v>2706</v>
      </c>
      <c r="I44" s="9">
        <v>12</v>
      </c>
      <c r="J44" s="12">
        <f t="shared" si="0"/>
        <v>0.15146935348446683</v>
      </c>
      <c r="K44" s="12">
        <f t="shared" si="1"/>
        <v>0.99165966974531206</v>
      </c>
      <c r="L44" s="12">
        <f t="shared" si="2"/>
        <v>4.434589800443459E-3</v>
      </c>
      <c r="M44" s="12">
        <f t="shared" si="3"/>
        <v>0.24242424242424243</v>
      </c>
    </row>
    <row r="45" spans="1:13" x14ac:dyDescent="0.3">
      <c r="A45" t="s">
        <v>279</v>
      </c>
      <c r="B45" s="6" t="s">
        <v>280</v>
      </c>
      <c r="C45" s="6" t="s">
        <v>90</v>
      </c>
      <c r="D45" s="7" t="s">
        <v>91</v>
      </c>
      <c r="E45" s="10">
        <v>160112</v>
      </c>
      <c r="F45" s="10">
        <v>159376</v>
      </c>
      <c r="G45" s="10">
        <v>81</v>
      </c>
      <c r="H45" s="10">
        <v>14099</v>
      </c>
      <c r="I45" s="10">
        <v>53</v>
      </c>
      <c r="J45" s="12">
        <f t="shared" si="0"/>
        <v>8.8057110022983914E-2</v>
      </c>
      <c r="K45" s="12">
        <f t="shared" si="1"/>
        <v>0.99540321774757667</v>
      </c>
      <c r="L45" s="12">
        <f t="shared" si="2"/>
        <v>3.7591318533229307E-3</v>
      </c>
      <c r="M45" s="12">
        <f t="shared" si="3"/>
        <v>5.745088304135045E-3</v>
      </c>
    </row>
    <row r="46" spans="1:13" x14ac:dyDescent="0.3">
      <c r="A46" t="s">
        <v>281</v>
      </c>
      <c r="B46" s="4" t="s">
        <v>290</v>
      </c>
      <c r="C46" s="4" t="s">
        <v>92</v>
      </c>
      <c r="D46" s="5" t="s">
        <v>93</v>
      </c>
      <c r="E46" s="9">
        <v>18017</v>
      </c>
      <c r="F46" s="9">
        <v>17868</v>
      </c>
      <c r="G46" s="9">
        <v>535</v>
      </c>
      <c r="H46" s="9">
        <v>2736</v>
      </c>
      <c r="I46" s="9">
        <v>17</v>
      </c>
      <c r="J46" s="12">
        <f t="shared" si="0"/>
        <v>0.15185657989676415</v>
      </c>
      <c r="K46" s="12">
        <f t="shared" si="1"/>
        <v>0.99173003274685012</v>
      </c>
      <c r="L46" s="12">
        <f t="shared" si="2"/>
        <v>6.2134502923976605E-3</v>
      </c>
      <c r="M46" s="12">
        <f t="shared" si="3"/>
        <v>0.19554093567251463</v>
      </c>
    </row>
    <row r="47" spans="1:13" x14ac:dyDescent="0.3">
      <c r="A47" t="s">
        <v>271</v>
      </c>
      <c r="B47" s="6" t="s">
        <v>282</v>
      </c>
      <c r="C47" s="6" t="s">
        <v>94</v>
      </c>
      <c r="D47" s="7" t="s">
        <v>95</v>
      </c>
      <c r="E47" s="10">
        <v>750</v>
      </c>
      <c r="F47" s="10">
        <v>712</v>
      </c>
      <c r="G47" s="10">
        <v>14</v>
      </c>
      <c r="H47" s="10">
        <v>150</v>
      </c>
      <c r="I47" s="10">
        <v>0</v>
      </c>
      <c r="J47" s="12">
        <f t="shared" si="0"/>
        <v>0.2</v>
      </c>
      <c r="K47" s="12">
        <f t="shared" si="1"/>
        <v>0.94933333333333336</v>
      </c>
      <c r="L47" s="12">
        <f t="shared" si="2"/>
        <v>0</v>
      </c>
      <c r="M47" s="12">
        <f t="shared" si="3"/>
        <v>9.3333333333333338E-2</v>
      </c>
    </row>
    <row r="48" spans="1:13" x14ac:dyDescent="0.3">
      <c r="A48" t="s">
        <v>281</v>
      </c>
      <c r="B48" s="4" t="s">
        <v>290</v>
      </c>
      <c r="C48" s="4" t="s">
        <v>96</v>
      </c>
      <c r="D48" s="5" t="s">
        <v>97</v>
      </c>
      <c r="E48" s="9">
        <v>18036</v>
      </c>
      <c r="F48" s="9">
        <v>17922</v>
      </c>
      <c r="G48" s="9">
        <v>3146</v>
      </c>
      <c r="H48" s="9">
        <v>4425</v>
      </c>
      <c r="I48" s="9">
        <v>17</v>
      </c>
      <c r="J48" s="12">
        <f t="shared" si="0"/>
        <v>0.24534264803725883</v>
      </c>
      <c r="K48" s="12">
        <f t="shared" si="1"/>
        <v>0.99367930805056559</v>
      </c>
      <c r="L48" s="12">
        <f t="shared" si="2"/>
        <v>3.8418079096045198E-3</v>
      </c>
      <c r="M48" s="12">
        <f t="shared" si="3"/>
        <v>0.7109604519774011</v>
      </c>
    </row>
    <row r="49" spans="1:13" x14ac:dyDescent="0.3">
      <c r="A49" t="s">
        <v>279</v>
      </c>
      <c r="B49" s="6" t="s">
        <v>288</v>
      </c>
      <c r="C49" s="6" t="s">
        <v>98</v>
      </c>
      <c r="D49" s="7" t="s">
        <v>99</v>
      </c>
      <c r="E49" s="10">
        <v>175084</v>
      </c>
      <c r="F49" s="10">
        <v>174292</v>
      </c>
      <c r="G49" s="10">
        <v>732</v>
      </c>
      <c r="H49" s="10">
        <v>15512</v>
      </c>
      <c r="I49" s="10">
        <v>53</v>
      </c>
      <c r="J49" s="12">
        <f t="shared" si="0"/>
        <v>8.8597473212857825E-2</v>
      </c>
      <c r="K49" s="12">
        <f t="shared" si="1"/>
        <v>0.9954764570149186</v>
      </c>
      <c r="L49" s="12">
        <f t="shared" si="2"/>
        <v>3.4167096441464675E-3</v>
      </c>
      <c r="M49" s="12">
        <f t="shared" si="3"/>
        <v>4.7189272821041774E-2</v>
      </c>
    </row>
    <row r="50" spans="1:13" x14ac:dyDescent="0.3">
      <c r="A50" t="s">
        <v>281</v>
      </c>
      <c r="B50" s="4" t="s">
        <v>290</v>
      </c>
      <c r="C50" s="4" t="s">
        <v>100</v>
      </c>
      <c r="D50" s="5" t="s">
        <v>101</v>
      </c>
      <c r="E50" s="9">
        <v>18053</v>
      </c>
      <c r="F50" s="9">
        <v>17918</v>
      </c>
      <c r="G50" s="9">
        <v>3418</v>
      </c>
      <c r="H50" s="9">
        <v>4437</v>
      </c>
      <c r="I50" s="9">
        <v>15</v>
      </c>
      <c r="J50" s="12">
        <f t="shared" si="0"/>
        <v>0.24577632526449897</v>
      </c>
      <c r="K50" s="12">
        <f t="shared" si="1"/>
        <v>0.99252201850108013</v>
      </c>
      <c r="L50" s="12">
        <f t="shared" si="2"/>
        <v>3.3806626098715348E-3</v>
      </c>
      <c r="M50" s="12">
        <f t="shared" si="3"/>
        <v>0.77034032003606046</v>
      </c>
    </row>
    <row r="51" spans="1:13" x14ac:dyDescent="0.3">
      <c r="A51" t="s">
        <v>281</v>
      </c>
      <c r="B51" s="6" t="s">
        <v>286</v>
      </c>
      <c r="C51" s="6" t="s">
        <v>102</v>
      </c>
      <c r="D51" s="7" t="s">
        <v>103</v>
      </c>
      <c r="E51" s="10">
        <v>9776</v>
      </c>
      <c r="F51" s="10">
        <v>9682</v>
      </c>
      <c r="G51" s="10">
        <v>1384</v>
      </c>
      <c r="H51" s="10">
        <v>1851</v>
      </c>
      <c r="I51" s="10">
        <v>11</v>
      </c>
      <c r="J51" s="12">
        <f t="shared" si="0"/>
        <v>0.18934124386252044</v>
      </c>
      <c r="K51" s="12">
        <f t="shared" si="1"/>
        <v>0.99038461538461531</v>
      </c>
      <c r="L51" s="12">
        <f t="shared" si="2"/>
        <v>5.9427336574824421E-3</v>
      </c>
      <c r="M51" s="12">
        <f t="shared" si="3"/>
        <v>0.74770394381415461</v>
      </c>
    </row>
    <row r="52" spans="1:13" x14ac:dyDescent="0.3">
      <c r="A52" t="s">
        <v>281</v>
      </c>
      <c r="B52" s="4" t="s">
        <v>286</v>
      </c>
      <c r="C52" s="4" t="s">
        <v>104</v>
      </c>
      <c r="D52" s="5" t="s">
        <v>105</v>
      </c>
      <c r="E52" s="9">
        <v>118</v>
      </c>
      <c r="F52" s="9">
        <v>112</v>
      </c>
      <c r="G52" s="9">
        <v>3</v>
      </c>
      <c r="H52" s="9">
        <v>27</v>
      </c>
      <c r="I52" s="9">
        <v>1</v>
      </c>
      <c r="J52" s="12">
        <f t="shared" si="0"/>
        <v>0.2288135593220339</v>
      </c>
      <c r="K52" s="12">
        <f t="shared" si="1"/>
        <v>0.94915254237288138</v>
      </c>
      <c r="L52" s="12">
        <f t="shared" si="2"/>
        <v>3.7037037037037035E-2</v>
      </c>
      <c r="M52" s="12">
        <f t="shared" si="3"/>
        <v>0.1111111111111111</v>
      </c>
    </row>
    <row r="53" spans="1:13" x14ac:dyDescent="0.3">
      <c r="A53" t="s">
        <v>281</v>
      </c>
      <c r="B53" s="6" t="s">
        <v>286</v>
      </c>
      <c r="C53" s="6" t="s">
        <v>106</v>
      </c>
      <c r="D53" s="7" t="s">
        <v>107</v>
      </c>
      <c r="E53" s="10">
        <v>118</v>
      </c>
      <c r="F53" s="10">
        <v>118</v>
      </c>
      <c r="G53" s="10">
        <v>27</v>
      </c>
      <c r="H53" s="10">
        <v>38</v>
      </c>
      <c r="I53" s="10">
        <v>0</v>
      </c>
      <c r="J53" s="12">
        <f t="shared" si="0"/>
        <v>0.32203389830508478</v>
      </c>
      <c r="K53" s="12">
        <f t="shared" si="1"/>
        <v>1</v>
      </c>
      <c r="L53" s="12">
        <f t="shared" si="2"/>
        <v>0</v>
      </c>
      <c r="M53" s="12">
        <f t="shared" si="3"/>
        <v>0.71052631578947367</v>
      </c>
    </row>
    <row r="54" spans="1:13" x14ac:dyDescent="0.3">
      <c r="A54" t="s">
        <v>281</v>
      </c>
      <c r="B54" s="4" t="s">
        <v>286</v>
      </c>
      <c r="C54" s="4" t="s">
        <v>108</v>
      </c>
      <c r="D54" s="5" t="s">
        <v>109</v>
      </c>
      <c r="E54" s="9">
        <v>44</v>
      </c>
      <c r="F54" s="9">
        <v>44</v>
      </c>
      <c r="G54" s="9">
        <v>0</v>
      </c>
      <c r="H54" s="9">
        <v>11</v>
      </c>
      <c r="I54" s="9">
        <v>0</v>
      </c>
      <c r="J54" s="12">
        <f t="shared" si="0"/>
        <v>0.25</v>
      </c>
      <c r="K54" s="12">
        <f t="shared" si="1"/>
        <v>1</v>
      </c>
      <c r="L54" s="12">
        <f t="shared" si="2"/>
        <v>0</v>
      </c>
      <c r="M54" s="12">
        <f t="shared" si="3"/>
        <v>0</v>
      </c>
    </row>
    <row r="55" spans="1:13" x14ac:dyDescent="0.3">
      <c r="A55" t="s">
        <v>279</v>
      </c>
      <c r="B55" s="6" t="s">
        <v>280</v>
      </c>
      <c r="C55" s="6" t="s">
        <v>110</v>
      </c>
      <c r="D55" s="7" t="s">
        <v>111</v>
      </c>
      <c r="E55" s="10">
        <v>160333</v>
      </c>
      <c r="F55" s="10">
        <v>159665</v>
      </c>
      <c r="G55" s="10">
        <v>181</v>
      </c>
      <c r="H55" s="10">
        <v>14836</v>
      </c>
      <c r="I55" s="10">
        <v>71</v>
      </c>
      <c r="J55" s="12">
        <f t="shared" si="0"/>
        <v>9.2532416907311663E-2</v>
      </c>
      <c r="K55" s="12">
        <f t="shared" si="1"/>
        <v>0.99583367117187349</v>
      </c>
      <c r="L55" s="12">
        <f t="shared" si="2"/>
        <v>4.7856565111890001E-3</v>
      </c>
      <c r="M55" s="12">
        <f t="shared" si="3"/>
        <v>1.2200053922890267E-2</v>
      </c>
    </row>
    <row r="56" spans="1:13" x14ac:dyDescent="0.3">
      <c r="A56" t="s">
        <v>273</v>
      </c>
      <c r="B56" s="4" t="s">
        <v>292</v>
      </c>
      <c r="C56" s="4" t="s">
        <v>112</v>
      </c>
      <c r="D56" s="5" t="s">
        <v>113</v>
      </c>
      <c r="E56" s="9">
        <v>55</v>
      </c>
      <c r="F56" s="9">
        <v>55</v>
      </c>
      <c r="G56" s="9">
        <v>0</v>
      </c>
      <c r="H56" s="9">
        <v>8</v>
      </c>
      <c r="I56" s="9">
        <v>0</v>
      </c>
      <c r="J56" s="12">
        <f t="shared" si="0"/>
        <v>0.14545454545454545</v>
      </c>
      <c r="K56" s="12">
        <f t="shared" si="1"/>
        <v>1</v>
      </c>
      <c r="L56" s="12">
        <f t="shared" si="2"/>
        <v>0</v>
      </c>
      <c r="M56" s="12">
        <f t="shared" si="3"/>
        <v>0</v>
      </c>
    </row>
    <row r="57" spans="1:13" x14ac:dyDescent="0.3">
      <c r="A57" t="s">
        <v>273</v>
      </c>
      <c r="B57" s="6" t="s">
        <v>292</v>
      </c>
      <c r="C57" s="6" t="s">
        <v>112</v>
      </c>
      <c r="D57" s="7" t="s">
        <v>114</v>
      </c>
      <c r="E57" s="10">
        <v>56</v>
      </c>
      <c r="F57" s="10">
        <v>56</v>
      </c>
      <c r="G57" s="10">
        <v>0</v>
      </c>
      <c r="H57" s="10">
        <v>8</v>
      </c>
      <c r="I57" s="10">
        <v>0</v>
      </c>
      <c r="J57" s="12">
        <f t="shared" si="0"/>
        <v>0.14285714285714288</v>
      </c>
      <c r="K57" s="12">
        <f t="shared" si="1"/>
        <v>1</v>
      </c>
      <c r="L57" s="12">
        <f t="shared" si="2"/>
        <v>0</v>
      </c>
      <c r="M57" s="12">
        <f t="shared" si="3"/>
        <v>0</v>
      </c>
    </row>
    <row r="58" spans="1:13" x14ac:dyDescent="0.3">
      <c r="A58" t="s">
        <v>273</v>
      </c>
      <c r="B58" s="4" t="s">
        <v>292</v>
      </c>
      <c r="C58" s="4" t="s">
        <v>115</v>
      </c>
      <c r="D58" s="5" t="s">
        <v>116</v>
      </c>
      <c r="E58" s="9">
        <v>55</v>
      </c>
      <c r="F58" s="9">
        <v>55</v>
      </c>
      <c r="G58" s="9">
        <v>0</v>
      </c>
      <c r="H58" s="9">
        <v>7</v>
      </c>
      <c r="I58" s="9">
        <v>0</v>
      </c>
      <c r="J58" s="12">
        <f t="shared" si="0"/>
        <v>0.12727272727272726</v>
      </c>
      <c r="K58" s="12">
        <f t="shared" si="1"/>
        <v>1</v>
      </c>
      <c r="L58" s="12">
        <f t="shared" si="2"/>
        <v>0</v>
      </c>
      <c r="M58" s="12">
        <f t="shared" si="3"/>
        <v>0</v>
      </c>
    </row>
    <row r="59" spans="1:13" x14ac:dyDescent="0.3">
      <c r="A59" t="s">
        <v>273</v>
      </c>
      <c r="B59" s="6" t="s">
        <v>292</v>
      </c>
      <c r="C59" s="6" t="s">
        <v>115</v>
      </c>
      <c r="D59" s="7" t="s">
        <v>117</v>
      </c>
      <c r="E59" s="10">
        <v>56</v>
      </c>
      <c r="F59" s="10">
        <v>56</v>
      </c>
      <c r="G59" s="10">
        <v>0</v>
      </c>
      <c r="H59" s="10">
        <v>5</v>
      </c>
      <c r="I59" s="10">
        <v>0</v>
      </c>
      <c r="J59" s="12">
        <f t="shared" si="0"/>
        <v>8.9285714285714288E-2</v>
      </c>
      <c r="K59" s="12">
        <f t="shared" si="1"/>
        <v>1</v>
      </c>
      <c r="L59" s="12">
        <f t="shared" si="2"/>
        <v>0</v>
      </c>
      <c r="M59" s="12">
        <f t="shared" si="3"/>
        <v>0</v>
      </c>
    </row>
    <row r="60" spans="1:13" x14ac:dyDescent="0.3">
      <c r="A60" t="s">
        <v>273</v>
      </c>
      <c r="B60" s="4" t="s">
        <v>292</v>
      </c>
      <c r="C60" s="4" t="s">
        <v>118</v>
      </c>
      <c r="D60" s="5" t="s">
        <v>119</v>
      </c>
      <c r="E60" s="9">
        <v>55</v>
      </c>
      <c r="F60" s="9">
        <v>55</v>
      </c>
      <c r="G60" s="9">
        <v>0</v>
      </c>
      <c r="H60" s="9">
        <v>9</v>
      </c>
      <c r="I60" s="9">
        <v>0</v>
      </c>
      <c r="J60" s="12">
        <f t="shared" si="0"/>
        <v>0.16363636363636364</v>
      </c>
      <c r="K60" s="12">
        <f t="shared" si="1"/>
        <v>1</v>
      </c>
      <c r="L60" s="12">
        <f t="shared" si="2"/>
        <v>0</v>
      </c>
      <c r="M60" s="12">
        <f t="shared" si="3"/>
        <v>0</v>
      </c>
    </row>
    <row r="61" spans="1:13" x14ac:dyDescent="0.3">
      <c r="A61" t="s">
        <v>273</v>
      </c>
      <c r="B61" s="6" t="s">
        <v>292</v>
      </c>
      <c r="C61" s="6" t="s">
        <v>118</v>
      </c>
      <c r="D61" s="7" t="s">
        <v>120</v>
      </c>
      <c r="E61" s="10">
        <v>57</v>
      </c>
      <c r="F61" s="10">
        <v>57</v>
      </c>
      <c r="G61" s="10">
        <v>1</v>
      </c>
      <c r="H61" s="10">
        <v>9</v>
      </c>
      <c r="I61" s="10">
        <v>1</v>
      </c>
      <c r="J61" s="12">
        <f t="shared" si="0"/>
        <v>0.15789473684210525</v>
      </c>
      <c r="K61" s="12">
        <f t="shared" si="1"/>
        <v>1</v>
      </c>
      <c r="L61" s="12">
        <f t="shared" si="2"/>
        <v>0.1111111111111111</v>
      </c>
      <c r="M61" s="12">
        <f t="shared" si="3"/>
        <v>0.1111111111111111</v>
      </c>
    </row>
    <row r="62" spans="1:13" x14ac:dyDescent="0.3">
      <c r="A62" t="s">
        <v>271</v>
      </c>
      <c r="B62" s="4" t="s">
        <v>272</v>
      </c>
      <c r="C62" s="4" t="s">
        <v>121</v>
      </c>
      <c r="D62" s="5" t="s">
        <v>122</v>
      </c>
      <c r="E62" s="9">
        <v>6901</v>
      </c>
      <c r="F62" s="9">
        <v>6723</v>
      </c>
      <c r="G62" s="9">
        <v>38</v>
      </c>
      <c r="H62" s="9">
        <v>1175</v>
      </c>
      <c r="I62" s="9">
        <v>10</v>
      </c>
      <c r="J62" s="12">
        <f t="shared" si="0"/>
        <v>0.17026517895957105</v>
      </c>
      <c r="K62" s="12">
        <f t="shared" si="1"/>
        <v>0.97420663671931607</v>
      </c>
      <c r="L62" s="12">
        <f t="shared" si="2"/>
        <v>8.5106382978723406E-3</v>
      </c>
      <c r="M62" s="12">
        <f t="shared" si="3"/>
        <v>3.2340425531914893E-2</v>
      </c>
    </row>
    <row r="63" spans="1:13" x14ac:dyDescent="0.3">
      <c r="A63" t="s">
        <v>277</v>
      </c>
      <c r="B63" s="6" t="s">
        <v>289</v>
      </c>
      <c r="C63" s="6" t="s">
        <v>37</v>
      </c>
      <c r="D63" s="7" t="s">
        <v>123</v>
      </c>
      <c r="E63" s="10">
        <v>16</v>
      </c>
      <c r="F63" s="10">
        <v>16</v>
      </c>
      <c r="G63" s="10">
        <v>4</v>
      </c>
      <c r="H63" s="10">
        <v>8</v>
      </c>
      <c r="I63" s="10">
        <v>0</v>
      </c>
      <c r="J63" s="12">
        <f t="shared" si="0"/>
        <v>0.5</v>
      </c>
      <c r="K63" s="12">
        <f t="shared" si="1"/>
        <v>1</v>
      </c>
      <c r="L63" s="12">
        <f t="shared" si="2"/>
        <v>0</v>
      </c>
      <c r="M63" s="12">
        <f t="shared" si="3"/>
        <v>0.5</v>
      </c>
    </row>
    <row r="64" spans="1:13" x14ac:dyDescent="0.3">
      <c r="A64" t="s">
        <v>281</v>
      </c>
      <c r="B64" s="4" t="s">
        <v>290</v>
      </c>
      <c r="C64" s="4" t="s">
        <v>124</v>
      </c>
      <c r="D64" s="5" t="s">
        <v>125</v>
      </c>
      <c r="E64" s="9">
        <v>18068</v>
      </c>
      <c r="F64" s="9">
        <v>17940</v>
      </c>
      <c r="G64" s="9">
        <v>3077</v>
      </c>
      <c r="H64" s="9">
        <v>4400</v>
      </c>
      <c r="I64" s="9">
        <v>11</v>
      </c>
      <c r="J64" s="12">
        <f t="shared" si="0"/>
        <v>0.24352446313925172</v>
      </c>
      <c r="K64" s="12">
        <f t="shared" si="1"/>
        <v>0.99291565198140364</v>
      </c>
      <c r="L64" s="12">
        <f t="shared" si="2"/>
        <v>2.5000000000000001E-3</v>
      </c>
      <c r="M64" s="12">
        <f t="shared" si="3"/>
        <v>0.69931818181818184</v>
      </c>
    </row>
    <row r="65" spans="1:13" x14ac:dyDescent="0.3">
      <c r="A65" t="s">
        <v>273</v>
      </c>
      <c r="B65" s="6" t="s">
        <v>292</v>
      </c>
      <c r="C65" s="6" t="s">
        <v>112</v>
      </c>
      <c r="D65" s="7" t="s">
        <v>126</v>
      </c>
      <c r="E65" s="10">
        <v>241</v>
      </c>
      <c r="F65" s="10">
        <v>222</v>
      </c>
      <c r="G65" s="10">
        <v>1</v>
      </c>
      <c r="H65" s="10">
        <v>24</v>
      </c>
      <c r="I65" s="10">
        <v>1</v>
      </c>
      <c r="J65" s="12">
        <f t="shared" si="0"/>
        <v>9.9585062240663907E-2</v>
      </c>
      <c r="K65" s="12">
        <f t="shared" si="1"/>
        <v>0.92116182572614103</v>
      </c>
      <c r="L65" s="12">
        <f t="shared" si="2"/>
        <v>4.1666666666666671E-2</v>
      </c>
      <c r="M65" s="12">
        <f t="shared" si="3"/>
        <v>4.1666666666666671E-2</v>
      </c>
    </row>
    <row r="66" spans="1:13" x14ac:dyDescent="0.3">
      <c r="A66" t="s">
        <v>273</v>
      </c>
      <c r="B66" s="4" t="s">
        <v>292</v>
      </c>
      <c r="C66" s="4" t="s">
        <v>112</v>
      </c>
      <c r="D66" s="5" t="s">
        <v>127</v>
      </c>
      <c r="E66" s="9">
        <v>252</v>
      </c>
      <c r="F66" s="9">
        <v>230</v>
      </c>
      <c r="G66" s="9">
        <v>1</v>
      </c>
      <c r="H66" s="9">
        <v>22</v>
      </c>
      <c r="I66" s="9">
        <v>1</v>
      </c>
      <c r="J66" s="12">
        <f t="shared" si="0"/>
        <v>8.7301587301587297E-2</v>
      </c>
      <c r="K66" s="12">
        <f t="shared" si="1"/>
        <v>0.91269841269841268</v>
      </c>
      <c r="L66" s="12">
        <f t="shared" si="2"/>
        <v>4.5454545454545456E-2</v>
      </c>
      <c r="M66" s="12">
        <f t="shared" si="3"/>
        <v>4.5454545454545456E-2</v>
      </c>
    </row>
    <row r="67" spans="1:13" x14ac:dyDescent="0.3">
      <c r="A67" t="s">
        <v>273</v>
      </c>
      <c r="B67" s="6" t="s">
        <v>292</v>
      </c>
      <c r="C67" s="6" t="s">
        <v>115</v>
      </c>
      <c r="D67" s="7" t="s">
        <v>128</v>
      </c>
      <c r="E67" s="10">
        <v>243</v>
      </c>
      <c r="F67" s="10">
        <v>223</v>
      </c>
      <c r="G67" s="10">
        <v>0</v>
      </c>
      <c r="H67" s="10">
        <v>26</v>
      </c>
      <c r="I67" s="10">
        <v>1</v>
      </c>
      <c r="J67" s="12">
        <f t="shared" ref="J67:J130" si="4">IFERROR(H67*100/E67/100,0)</f>
        <v>0.10699588477366255</v>
      </c>
      <c r="K67" s="12">
        <f t="shared" ref="K67:K130" si="5">IFERROR(F67*100/E67/100,0)</f>
        <v>0.91769547325102874</v>
      </c>
      <c r="L67" s="12">
        <f t="shared" ref="L67:L130" si="6">IFERROR(I67*100/H67/100,0)</f>
        <v>3.8461538461538464E-2</v>
      </c>
      <c r="M67" s="12">
        <f t="shared" ref="M67:M130" si="7">IFERROR(G67*100/H67/100,0)</f>
        <v>0</v>
      </c>
    </row>
    <row r="68" spans="1:13" x14ac:dyDescent="0.3">
      <c r="A68" t="s">
        <v>273</v>
      </c>
      <c r="B68" s="4" t="s">
        <v>292</v>
      </c>
      <c r="C68" s="4" t="s">
        <v>115</v>
      </c>
      <c r="D68" s="5" t="s">
        <v>129</v>
      </c>
      <c r="E68" s="9">
        <v>253</v>
      </c>
      <c r="F68" s="9">
        <v>231</v>
      </c>
      <c r="G68" s="9">
        <v>0</v>
      </c>
      <c r="H68" s="9">
        <v>22</v>
      </c>
      <c r="I68" s="9">
        <v>0</v>
      </c>
      <c r="J68" s="12">
        <f t="shared" si="4"/>
        <v>8.6956521739130432E-2</v>
      </c>
      <c r="K68" s="12">
        <f t="shared" si="5"/>
        <v>0.91304347826086951</v>
      </c>
      <c r="L68" s="12">
        <f t="shared" si="6"/>
        <v>0</v>
      </c>
      <c r="M68" s="12">
        <f t="shared" si="7"/>
        <v>0</v>
      </c>
    </row>
    <row r="69" spans="1:13" x14ac:dyDescent="0.3">
      <c r="A69" t="s">
        <v>273</v>
      </c>
      <c r="B69" s="6" t="s">
        <v>292</v>
      </c>
      <c r="C69" s="6" t="s">
        <v>118</v>
      </c>
      <c r="D69" s="7" t="s">
        <v>130</v>
      </c>
      <c r="E69" s="10">
        <v>260</v>
      </c>
      <c r="F69" s="10">
        <v>236</v>
      </c>
      <c r="G69" s="10">
        <v>6</v>
      </c>
      <c r="H69" s="10">
        <v>21</v>
      </c>
      <c r="I69" s="10">
        <v>6</v>
      </c>
      <c r="J69" s="12">
        <f t="shared" si="4"/>
        <v>8.076923076923076E-2</v>
      </c>
      <c r="K69" s="12">
        <f t="shared" si="5"/>
        <v>0.90769230769230769</v>
      </c>
      <c r="L69" s="12">
        <f t="shared" si="6"/>
        <v>0.28571428571428575</v>
      </c>
      <c r="M69" s="12">
        <f t="shared" si="7"/>
        <v>0.28571428571428575</v>
      </c>
    </row>
    <row r="70" spans="1:13" x14ac:dyDescent="0.3">
      <c r="A70" t="s">
        <v>273</v>
      </c>
      <c r="B70" s="4" t="s">
        <v>292</v>
      </c>
      <c r="C70" s="4" t="s">
        <v>118</v>
      </c>
      <c r="D70" s="5" t="s">
        <v>130</v>
      </c>
      <c r="E70" s="9">
        <v>248</v>
      </c>
      <c r="F70" s="9">
        <v>228</v>
      </c>
      <c r="G70" s="9">
        <v>4</v>
      </c>
      <c r="H70" s="9">
        <v>26</v>
      </c>
      <c r="I70" s="9">
        <v>3</v>
      </c>
      <c r="J70" s="12">
        <f t="shared" si="4"/>
        <v>0.10483870967741936</v>
      </c>
      <c r="K70" s="12">
        <f t="shared" si="5"/>
        <v>0.91935483870967749</v>
      </c>
      <c r="L70" s="12">
        <f t="shared" si="6"/>
        <v>0.11538461538461538</v>
      </c>
      <c r="M70" s="12">
        <f t="shared" si="7"/>
        <v>0.15384615384615385</v>
      </c>
    </row>
    <row r="71" spans="1:13" x14ac:dyDescent="0.3">
      <c r="A71" t="s">
        <v>277</v>
      </c>
      <c r="B71" s="6" t="s">
        <v>293</v>
      </c>
      <c r="C71" s="6" t="s">
        <v>131</v>
      </c>
      <c r="D71" s="7" t="s">
        <v>132</v>
      </c>
      <c r="E71" s="10">
        <v>7614</v>
      </c>
      <c r="F71" s="10">
        <v>7569</v>
      </c>
      <c r="G71" s="10">
        <v>43</v>
      </c>
      <c r="H71" s="10">
        <v>1081</v>
      </c>
      <c r="I71" s="10">
        <v>4</v>
      </c>
      <c r="J71" s="12">
        <f t="shared" si="4"/>
        <v>0.14197530864197533</v>
      </c>
      <c r="K71" s="12">
        <f t="shared" si="5"/>
        <v>0.99408983451536637</v>
      </c>
      <c r="L71" s="12">
        <f t="shared" si="6"/>
        <v>3.7002775208140608E-3</v>
      </c>
      <c r="M71" s="12">
        <f t="shared" si="7"/>
        <v>3.9777983348751156E-2</v>
      </c>
    </row>
    <row r="72" spans="1:13" x14ac:dyDescent="0.3">
      <c r="A72" t="s">
        <v>279</v>
      </c>
      <c r="B72" s="4" t="s">
        <v>294</v>
      </c>
      <c r="C72" s="4" t="s">
        <v>133</v>
      </c>
      <c r="D72" s="5" t="s">
        <v>134</v>
      </c>
      <c r="E72" s="9">
        <v>37</v>
      </c>
      <c r="F72" s="9">
        <v>36</v>
      </c>
      <c r="G72" s="9">
        <v>5</v>
      </c>
      <c r="H72" s="9">
        <v>8</v>
      </c>
      <c r="I72" s="9">
        <v>0</v>
      </c>
      <c r="J72" s="12">
        <f t="shared" si="4"/>
        <v>0.2162162162162162</v>
      </c>
      <c r="K72" s="12">
        <f t="shared" si="5"/>
        <v>0.97297297297297292</v>
      </c>
      <c r="L72" s="12">
        <f t="shared" si="6"/>
        <v>0</v>
      </c>
      <c r="M72" s="12">
        <f t="shared" si="7"/>
        <v>0.625</v>
      </c>
    </row>
    <row r="73" spans="1:13" x14ac:dyDescent="0.3">
      <c r="A73" t="s">
        <v>281</v>
      </c>
      <c r="B73" s="6" t="s">
        <v>290</v>
      </c>
      <c r="C73" s="6" t="s">
        <v>135</v>
      </c>
      <c r="D73" s="7" t="s">
        <v>136</v>
      </c>
      <c r="E73" s="10">
        <v>18253</v>
      </c>
      <c r="F73" s="10">
        <v>18093</v>
      </c>
      <c r="G73" s="10">
        <v>1513</v>
      </c>
      <c r="H73" s="10">
        <v>3431</v>
      </c>
      <c r="I73" s="10">
        <v>20</v>
      </c>
      <c r="J73" s="12">
        <f t="shared" si="4"/>
        <v>0.18796910096970362</v>
      </c>
      <c r="K73" s="12">
        <f t="shared" si="5"/>
        <v>0.99123431764641423</v>
      </c>
      <c r="L73" s="12">
        <f t="shared" si="6"/>
        <v>5.8292043136111927E-3</v>
      </c>
      <c r="M73" s="12">
        <f t="shared" si="7"/>
        <v>0.44097930632468668</v>
      </c>
    </row>
    <row r="74" spans="1:13" x14ac:dyDescent="0.3">
      <c r="A74" t="s">
        <v>277</v>
      </c>
      <c r="B74" s="4" t="s">
        <v>291</v>
      </c>
      <c r="C74" s="4" t="s">
        <v>71</v>
      </c>
      <c r="D74" s="5" t="s">
        <v>137</v>
      </c>
      <c r="E74" s="9">
        <v>11</v>
      </c>
      <c r="F74" s="9">
        <v>11</v>
      </c>
      <c r="G74" s="9">
        <v>1</v>
      </c>
      <c r="H74" s="9">
        <v>3</v>
      </c>
      <c r="I74" s="9">
        <v>0</v>
      </c>
      <c r="J74" s="12">
        <f t="shared" si="4"/>
        <v>0.27272727272727271</v>
      </c>
      <c r="K74" s="12">
        <f t="shared" si="5"/>
        <v>1</v>
      </c>
      <c r="L74" s="12">
        <f t="shared" si="6"/>
        <v>0</v>
      </c>
      <c r="M74" s="12">
        <f t="shared" si="7"/>
        <v>0.33333333333333337</v>
      </c>
    </row>
    <row r="75" spans="1:13" x14ac:dyDescent="0.3">
      <c r="A75" t="s">
        <v>281</v>
      </c>
      <c r="B75" s="6" t="s">
        <v>286</v>
      </c>
      <c r="C75" s="6" t="s">
        <v>138</v>
      </c>
      <c r="D75" s="7" t="s">
        <v>139</v>
      </c>
      <c r="E75" s="10">
        <v>3056</v>
      </c>
      <c r="F75" s="10">
        <v>3041</v>
      </c>
      <c r="G75" s="10">
        <v>20</v>
      </c>
      <c r="H75" s="10">
        <v>441</v>
      </c>
      <c r="I75" s="10">
        <v>1</v>
      </c>
      <c r="J75" s="12">
        <f t="shared" si="4"/>
        <v>0.14430628272251309</v>
      </c>
      <c r="K75" s="12">
        <f t="shared" si="5"/>
        <v>0.99509162303664922</v>
      </c>
      <c r="L75" s="12">
        <f t="shared" si="6"/>
        <v>2.2675736961451248E-3</v>
      </c>
      <c r="M75" s="12">
        <f t="shared" si="7"/>
        <v>4.5351473922902494E-2</v>
      </c>
    </row>
    <row r="76" spans="1:13" x14ac:dyDescent="0.3">
      <c r="A76" t="s">
        <v>281</v>
      </c>
      <c r="B76" s="4" t="s">
        <v>286</v>
      </c>
      <c r="C76" s="4" t="s">
        <v>140</v>
      </c>
      <c r="D76" s="5" t="s">
        <v>141</v>
      </c>
      <c r="E76" s="9">
        <v>3062</v>
      </c>
      <c r="F76" s="9">
        <v>3056</v>
      </c>
      <c r="G76" s="9">
        <v>18</v>
      </c>
      <c r="H76" s="9">
        <v>464</v>
      </c>
      <c r="I76" s="9">
        <v>3</v>
      </c>
      <c r="J76" s="12">
        <f t="shared" si="4"/>
        <v>0.15153494448073154</v>
      </c>
      <c r="K76" s="12">
        <f t="shared" si="5"/>
        <v>0.99804049640757664</v>
      </c>
      <c r="L76" s="12">
        <f t="shared" si="6"/>
        <v>6.4655172413793103E-3</v>
      </c>
      <c r="M76" s="12">
        <f t="shared" si="7"/>
        <v>3.8793103448275863E-2</v>
      </c>
    </row>
    <row r="77" spans="1:13" x14ac:dyDescent="0.3">
      <c r="A77" t="s">
        <v>281</v>
      </c>
      <c r="B77" s="6" t="s">
        <v>286</v>
      </c>
      <c r="C77" s="6" t="s">
        <v>142</v>
      </c>
      <c r="D77" s="7" t="s">
        <v>143</v>
      </c>
      <c r="E77" s="10">
        <v>3010</v>
      </c>
      <c r="F77" s="10">
        <v>3000</v>
      </c>
      <c r="G77" s="10">
        <v>73</v>
      </c>
      <c r="H77" s="10">
        <v>449</v>
      </c>
      <c r="I77" s="10">
        <v>1</v>
      </c>
      <c r="J77" s="12">
        <f t="shared" si="4"/>
        <v>0.14916943521594683</v>
      </c>
      <c r="K77" s="12">
        <f t="shared" si="5"/>
        <v>0.99667774086378746</v>
      </c>
      <c r="L77" s="12">
        <f t="shared" si="6"/>
        <v>2.2271714922049001E-3</v>
      </c>
      <c r="M77" s="12">
        <f t="shared" si="7"/>
        <v>0.16258351893095768</v>
      </c>
    </row>
    <row r="78" spans="1:13" x14ac:dyDescent="0.3">
      <c r="A78" t="s">
        <v>281</v>
      </c>
      <c r="B78" s="4" t="s">
        <v>286</v>
      </c>
      <c r="C78" s="4" t="s">
        <v>144</v>
      </c>
      <c r="D78" s="5" t="s">
        <v>143</v>
      </c>
      <c r="E78" s="9">
        <v>3123</v>
      </c>
      <c r="F78" s="9">
        <v>3109</v>
      </c>
      <c r="G78" s="9">
        <v>52</v>
      </c>
      <c r="H78" s="9">
        <v>465</v>
      </c>
      <c r="I78" s="9">
        <v>1</v>
      </c>
      <c r="J78" s="12">
        <f t="shared" si="4"/>
        <v>0.148895292987512</v>
      </c>
      <c r="K78" s="12">
        <f t="shared" si="5"/>
        <v>0.99551713096381689</v>
      </c>
      <c r="L78" s="12">
        <f t="shared" si="6"/>
        <v>2.1505376344086021E-3</v>
      </c>
      <c r="M78" s="12">
        <f t="shared" si="7"/>
        <v>0.11182795698924732</v>
      </c>
    </row>
    <row r="79" spans="1:13" x14ac:dyDescent="0.3">
      <c r="A79" t="s">
        <v>279</v>
      </c>
      <c r="B79" s="6" t="s">
        <v>280</v>
      </c>
      <c r="C79" s="6" t="s">
        <v>145</v>
      </c>
      <c r="D79" s="7" t="s">
        <v>146</v>
      </c>
      <c r="E79" s="10">
        <v>160606</v>
      </c>
      <c r="F79" s="10">
        <v>159859</v>
      </c>
      <c r="G79" s="10">
        <v>82</v>
      </c>
      <c r="H79" s="10">
        <v>14942</v>
      </c>
      <c r="I79" s="10">
        <v>94</v>
      </c>
      <c r="J79" s="12">
        <f t="shared" si="4"/>
        <v>9.3035129447218659E-2</v>
      </c>
      <c r="K79" s="12">
        <f t="shared" si="5"/>
        <v>0.99534886616938356</v>
      </c>
      <c r="L79" s="12">
        <f t="shared" si="6"/>
        <v>6.2909918350957036E-3</v>
      </c>
      <c r="M79" s="12">
        <f t="shared" si="7"/>
        <v>5.4878864944451879E-3</v>
      </c>
    </row>
    <row r="80" spans="1:13" x14ac:dyDescent="0.3">
      <c r="A80" t="s">
        <v>281</v>
      </c>
      <c r="B80" s="4" t="s">
        <v>286</v>
      </c>
      <c r="C80" s="4" t="s">
        <v>147</v>
      </c>
      <c r="D80" s="5" t="s">
        <v>148</v>
      </c>
      <c r="E80" s="9">
        <v>13999</v>
      </c>
      <c r="F80" s="9">
        <v>13843</v>
      </c>
      <c r="G80" s="9">
        <v>149</v>
      </c>
      <c r="H80" s="9">
        <v>2623</v>
      </c>
      <c r="I80" s="9">
        <v>11</v>
      </c>
      <c r="J80" s="12">
        <f t="shared" si="4"/>
        <v>0.18737052646617616</v>
      </c>
      <c r="K80" s="12">
        <f t="shared" si="5"/>
        <v>0.98885634688192015</v>
      </c>
      <c r="L80" s="12">
        <f t="shared" si="6"/>
        <v>4.1936713686618375E-3</v>
      </c>
      <c r="M80" s="12">
        <f t="shared" si="7"/>
        <v>5.6805184902783072E-2</v>
      </c>
    </row>
    <row r="81" spans="1:13" x14ac:dyDescent="0.3">
      <c r="A81" t="s">
        <v>279</v>
      </c>
      <c r="B81" s="6" t="s">
        <v>280</v>
      </c>
      <c r="C81" s="6" t="s">
        <v>149</v>
      </c>
      <c r="D81" s="7" t="s">
        <v>150</v>
      </c>
      <c r="E81" s="10">
        <v>160762</v>
      </c>
      <c r="F81" s="10">
        <v>160088</v>
      </c>
      <c r="G81" s="10">
        <v>177</v>
      </c>
      <c r="H81" s="10">
        <v>16546</v>
      </c>
      <c r="I81" s="10">
        <v>127</v>
      </c>
      <c r="J81" s="12">
        <f t="shared" si="4"/>
        <v>0.10292233239198317</v>
      </c>
      <c r="K81" s="12">
        <f t="shared" si="5"/>
        <v>0.99580746693870437</v>
      </c>
      <c r="L81" s="12">
        <f t="shared" si="6"/>
        <v>7.6755711350175275E-3</v>
      </c>
      <c r="M81" s="12">
        <f t="shared" si="7"/>
        <v>1.0697449534630728E-2</v>
      </c>
    </row>
    <row r="82" spans="1:13" x14ac:dyDescent="0.3">
      <c r="A82" t="s">
        <v>281</v>
      </c>
      <c r="B82" s="4" t="s">
        <v>286</v>
      </c>
      <c r="C82" s="4" t="s">
        <v>151</v>
      </c>
      <c r="D82" s="5" t="s">
        <v>152</v>
      </c>
      <c r="E82" s="9">
        <v>848</v>
      </c>
      <c r="F82" s="9">
        <v>832</v>
      </c>
      <c r="G82" s="9">
        <v>9</v>
      </c>
      <c r="H82" s="9">
        <v>184</v>
      </c>
      <c r="I82" s="9">
        <v>0</v>
      </c>
      <c r="J82" s="12">
        <f t="shared" si="4"/>
        <v>0.21698113207547171</v>
      </c>
      <c r="K82" s="12">
        <f t="shared" si="5"/>
        <v>0.98113207547169812</v>
      </c>
      <c r="L82" s="12">
        <f t="shared" si="6"/>
        <v>0</v>
      </c>
      <c r="M82" s="12">
        <f t="shared" si="7"/>
        <v>4.8913043478260872E-2</v>
      </c>
    </row>
    <row r="83" spans="1:13" x14ac:dyDescent="0.3">
      <c r="A83" t="s">
        <v>281</v>
      </c>
      <c r="B83" s="6" t="s">
        <v>286</v>
      </c>
      <c r="C83" s="6" t="s">
        <v>153</v>
      </c>
      <c r="D83" s="7" t="s">
        <v>154</v>
      </c>
      <c r="E83" s="10">
        <v>937</v>
      </c>
      <c r="F83" s="10">
        <v>927</v>
      </c>
      <c r="G83" s="10">
        <v>36</v>
      </c>
      <c r="H83" s="10">
        <v>202</v>
      </c>
      <c r="I83" s="10">
        <v>2</v>
      </c>
      <c r="J83" s="12">
        <f t="shared" si="4"/>
        <v>0.21558164354322304</v>
      </c>
      <c r="K83" s="12">
        <f t="shared" si="5"/>
        <v>0.9893276414087514</v>
      </c>
      <c r="L83" s="12">
        <f t="shared" si="6"/>
        <v>9.9009900990099011E-3</v>
      </c>
      <c r="M83" s="12">
        <f t="shared" si="7"/>
        <v>0.17821782178217824</v>
      </c>
    </row>
    <row r="84" spans="1:13" x14ac:dyDescent="0.3">
      <c r="A84" t="s">
        <v>281</v>
      </c>
      <c r="B84" s="4" t="s">
        <v>286</v>
      </c>
      <c r="C84" s="4" t="s">
        <v>155</v>
      </c>
      <c r="D84" s="5" t="s">
        <v>156</v>
      </c>
      <c r="E84" s="9">
        <v>881</v>
      </c>
      <c r="F84" s="9">
        <v>868</v>
      </c>
      <c r="G84" s="9">
        <v>16</v>
      </c>
      <c r="H84" s="9">
        <v>189</v>
      </c>
      <c r="I84" s="9">
        <v>5</v>
      </c>
      <c r="J84" s="12">
        <f t="shared" si="4"/>
        <v>0.21452894438138478</v>
      </c>
      <c r="K84" s="12">
        <f t="shared" si="5"/>
        <v>0.98524404086265605</v>
      </c>
      <c r="L84" s="12">
        <f t="shared" si="6"/>
        <v>2.6455026455026457E-2</v>
      </c>
      <c r="M84" s="12">
        <f t="shared" si="7"/>
        <v>8.4656084656084651E-2</v>
      </c>
    </row>
    <row r="85" spans="1:13" x14ac:dyDescent="0.3">
      <c r="A85" t="s">
        <v>281</v>
      </c>
      <c r="B85" s="6" t="s">
        <v>286</v>
      </c>
      <c r="C85" s="6" t="s">
        <v>157</v>
      </c>
      <c r="D85" s="7" t="s">
        <v>158</v>
      </c>
      <c r="E85" s="10">
        <v>919</v>
      </c>
      <c r="F85" s="10">
        <v>909</v>
      </c>
      <c r="G85" s="10">
        <v>24</v>
      </c>
      <c r="H85" s="10">
        <v>187</v>
      </c>
      <c r="I85" s="10">
        <v>2</v>
      </c>
      <c r="J85" s="12">
        <f t="shared" si="4"/>
        <v>0.20348204570184983</v>
      </c>
      <c r="K85" s="12">
        <f t="shared" si="5"/>
        <v>0.98911860718171918</v>
      </c>
      <c r="L85" s="12">
        <f t="shared" si="6"/>
        <v>1.0695187165775402E-2</v>
      </c>
      <c r="M85" s="12">
        <f t="shared" si="7"/>
        <v>0.1283422459893048</v>
      </c>
    </row>
    <row r="86" spans="1:13" x14ac:dyDescent="0.3">
      <c r="A86" t="s">
        <v>281</v>
      </c>
      <c r="B86" s="4" t="s">
        <v>286</v>
      </c>
      <c r="C86" s="4" t="s">
        <v>159</v>
      </c>
      <c r="D86" s="5" t="s">
        <v>160</v>
      </c>
      <c r="E86" s="9">
        <v>882</v>
      </c>
      <c r="F86" s="9">
        <v>865</v>
      </c>
      <c r="G86" s="9">
        <v>14</v>
      </c>
      <c r="H86" s="9">
        <v>188</v>
      </c>
      <c r="I86" s="9">
        <v>4</v>
      </c>
      <c r="J86" s="12">
        <f t="shared" si="4"/>
        <v>0.21315192743764172</v>
      </c>
      <c r="K86" s="12">
        <f t="shared" si="5"/>
        <v>0.98072562358276638</v>
      </c>
      <c r="L86" s="12">
        <f t="shared" si="6"/>
        <v>2.1276595744680851E-2</v>
      </c>
      <c r="M86" s="12">
        <f t="shared" si="7"/>
        <v>7.4468085106382975E-2</v>
      </c>
    </row>
    <row r="87" spans="1:13" x14ac:dyDescent="0.3">
      <c r="A87" t="s">
        <v>281</v>
      </c>
      <c r="B87" s="6" t="s">
        <v>286</v>
      </c>
      <c r="C87" s="6" t="s">
        <v>161</v>
      </c>
      <c r="D87" s="7" t="s">
        <v>162</v>
      </c>
      <c r="E87" s="10">
        <v>938</v>
      </c>
      <c r="F87" s="10">
        <v>920</v>
      </c>
      <c r="G87" s="10">
        <v>21</v>
      </c>
      <c r="H87" s="10">
        <v>203</v>
      </c>
      <c r="I87" s="10">
        <v>1</v>
      </c>
      <c r="J87" s="12">
        <f t="shared" si="4"/>
        <v>0.21641791044776121</v>
      </c>
      <c r="K87" s="12">
        <f t="shared" si="5"/>
        <v>0.9808102345415779</v>
      </c>
      <c r="L87" s="12">
        <f t="shared" si="6"/>
        <v>4.9261083743842365E-3</v>
      </c>
      <c r="M87" s="12">
        <f t="shared" si="7"/>
        <v>0.10344827586206896</v>
      </c>
    </row>
    <row r="88" spans="1:13" x14ac:dyDescent="0.3">
      <c r="A88" t="s">
        <v>277</v>
      </c>
      <c r="B88" s="4" t="s">
        <v>293</v>
      </c>
      <c r="C88" s="4" t="s">
        <v>163</v>
      </c>
      <c r="D88" s="5" t="s">
        <v>164</v>
      </c>
      <c r="E88" s="9">
        <v>7677</v>
      </c>
      <c r="F88" s="9">
        <v>7607</v>
      </c>
      <c r="G88" s="9">
        <v>143</v>
      </c>
      <c r="H88" s="9">
        <v>1422</v>
      </c>
      <c r="I88" s="9">
        <v>8</v>
      </c>
      <c r="J88" s="12">
        <f t="shared" si="4"/>
        <v>0.18522860492379833</v>
      </c>
      <c r="K88" s="12">
        <f t="shared" si="5"/>
        <v>0.99088185489123359</v>
      </c>
      <c r="L88" s="12">
        <f t="shared" si="6"/>
        <v>5.6258790436005627E-3</v>
      </c>
      <c r="M88" s="12">
        <f t="shared" si="7"/>
        <v>0.10056258790436007</v>
      </c>
    </row>
    <row r="89" spans="1:13" x14ac:dyDescent="0.3">
      <c r="A89" t="s">
        <v>271</v>
      </c>
      <c r="B89" s="6" t="s">
        <v>272</v>
      </c>
      <c r="C89" s="6" t="s">
        <v>165</v>
      </c>
      <c r="D89" s="7" t="s">
        <v>166</v>
      </c>
      <c r="E89" s="10">
        <v>5821</v>
      </c>
      <c r="F89" s="10">
        <v>5666</v>
      </c>
      <c r="G89" s="10">
        <v>37</v>
      </c>
      <c r="H89" s="10">
        <v>966</v>
      </c>
      <c r="I89" s="10">
        <v>20</v>
      </c>
      <c r="J89" s="12">
        <f t="shared" si="4"/>
        <v>0.16595086754853117</v>
      </c>
      <c r="K89" s="12">
        <f t="shared" si="5"/>
        <v>0.97337227280535987</v>
      </c>
      <c r="L89" s="12">
        <f t="shared" si="6"/>
        <v>2.0703933747412008E-2</v>
      </c>
      <c r="M89" s="12">
        <f t="shared" si="7"/>
        <v>3.8302277432712216E-2</v>
      </c>
    </row>
    <row r="90" spans="1:13" x14ac:dyDescent="0.3">
      <c r="A90" t="s">
        <v>273</v>
      </c>
      <c r="B90" s="4" t="s">
        <v>292</v>
      </c>
      <c r="C90" s="4" t="s">
        <v>112</v>
      </c>
      <c r="D90" s="5" t="s">
        <v>167</v>
      </c>
      <c r="E90" s="9">
        <v>124</v>
      </c>
      <c r="F90" s="9">
        <v>124</v>
      </c>
      <c r="G90" s="9">
        <v>0</v>
      </c>
      <c r="H90" s="9">
        <v>24</v>
      </c>
      <c r="I90" s="9">
        <v>0</v>
      </c>
      <c r="J90" s="12">
        <f t="shared" si="4"/>
        <v>0.19354838709677419</v>
      </c>
      <c r="K90" s="12">
        <f t="shared" si="5"/>
        <v>1</v>
      </c>
      <c r="L90" s="12">
        <f t="shared" si="6"/>
        <v>0</v>
      </c>
      <c r="M90" s="12">
        <f t="shared" si="7"/>
        <v>0</v>
      </c>
    </row>
    <row r="91" spans="1:13" x14ac:dyDescent="0.3">
      <c r="A91" t="s">
        <v>273</v>
      </c>
      <c r="B91" s="6" t="s">
        <v>292</v>
      </c>
      <c r="C91" s="6" t="s">
        <v>115</v>
      </c>
      <c r="D91" s="7" t="s">
        <v>168</v>
      </c>
      <c r="E91" s="10">
        <v>127</v>
      </c>
      <c r="F91" s="10">
        <v>124</v>
      </c>
      <c r="G91" s="10">
        <v>0</v>
      </c>
      <c r="H91" s="10">
        <v>19</v>
      </c>
      <c r="I91" s="10">
        <v>0</v>
      </c>
      <c r="J91" s="12">
        <f t="shared" si="4"/>
        <v>0.14960629921259844</v>
      </c>
      <c r="K91" s="12">
        <f t="shared" si="5"/>
        <v>0.97637795275590544</v>
      </c>
      <c r="L91" s="12">
        <f t="shared" si="6"/>
        <v>0</v>
      </c>
      <c r="M91" s="12">
        <f t="shared" si="7"/>
        <v>0</v>
      </c>
    </row>
    <row r="92" spans="1:13" x14ac:dyDescent="0.3">
      <c r="A92" t="s">
        <v>273</v>
      </c>
      <c r="B92" s="4" t="s">
        <v>292</v>
      </c>
      <c r="C92" s="4" t="s">
        <v>118</v>
      </c>
      <c r="D92" s="5" t="s">
        <v>169</v>
      </c>
      <c r="E92" s="9">
        <v>129</v>
      </c>
      <c r="F92" s="9">
        <v>126</v>
      </c>
      <c r="G92" s="9">
        <v>1</v>
      </c>
      <c r="H92" s="9">
        <v>18</v>
      </c>
      <c r="I92" s="9">
        <v>1</v>
      </c>
      <c r="J92" s="12">
        <f t="shared" si="4"/>
        <v>0.13953488372093023</v>
      </c>
      <c r="K92" s="12">
        <f t="shared" si="5"/>
        <v>0.9767441860465117</v>
      </c>
      <c r="L92" s="12">
        <f t="shared" si="6"/>
        <v>5.5555555555555552E-2</v>
      </c>
      <c r="M92" s="12">
        <f t="shared" si="7"/>
        <v>5.5555555555555552E-2</v>
      </c>
    </row>
    <row r="93" spans="1:13" x14ac:dyDescent="0.3">
      <c r="A93" t="s">
        <v>273</v>
      </c>
      <c r="B93" s="6" t="s">
        <v>295</v>
      </c>
      <c r="C93" s="6" t="s">
        <v>170</v>
      </c>
      <c r="D93" s="7" t="s">
        <v>171</v>
      </c>
      <c r="E93" s="10">
        <v>182357</v>
      </c>
      <c r="F93" s="10">
        <v>181550</v>
      </c>
      <c r="G93" s="10">
        <v>314</v>
      </c>
      <c r="H93" s="10">
        <v>18081</v>
      </c>
      <c r="I93" s="10">
        <v>126</v>
      </c>
      <c r="J93" s="12">
        <f t="shared" si="4"/>
        <v>9.9151664043606771E-2</v>
      </c>
      <c r="K93" s="12">
        <f t="shared" si="5"/>
        <v>0.99557461462954533</v>
      </c>
      <c r="L93" s="12">
        <f t="shared" si="6"/>
        <v>6.9686411149825793E-3</v>
      </c>
      <c r="M93" s="12">
        <f t="shared" si="7"/>
        <v>1.736629611194071E-2</v>
      </c>
    </row>
    <row r="94" spans="1:13" x14ac:dyDescent="0.3">
      <c r="A94" t="s">
        <v>277</v>
      </c>
      <c r="B94" s="4" t="s">
        <v>287</v>
      </c>
      <c r="C94" s="4" t="s">
        <v>172</v>
      </c>
      <c r="D94" s="5" t="s">
        <v>173</v>
      </c>
      <c r="E94" s="9">
        <v>89748</v>
      </c>
      <c r="F94" s="9">
        <v>89210</v>
      </c>
      <c r="G94" s="9">
        <v>167</v>
      </c>
      <c r="H94" s="9">
        <v>12633</v>
      </c>
      <c r="I94" s="9">
        <v>52</v>
      </c>
      <c r="J94" s="12">
        <f t="shared" si="4"/>
        <v>0.14076079689798102</v>
      </c>
      <c r="K94" s="12">
        <f t="shared" si="5"/>
        <v>0.99400543744707404</v>
      </c>
      <c r="L94" s="12">
        <f t="shared" si="6"/>
        <v>4.1162035937623688E-3</v>
      </c>
      <c r="M94" s="12">
        <f t="shared" si="7"/>
        <v>1.3219346156890683E-2</v>
      </c>
    </row>
    <row r="95" spans="1:13" x14ac:dyDescent="0.3">
      <c r="A95" t="s">
        <v>273</v>
      </c>
      <c r="B95" s="6" t="s">
        <v>275</v>
      </c>
      <c r="C95" s="6" t="s">
        <v>174</v>
      </c>
      <c r="D95" s="7" t="s">
        <v>175</v>
      </c>
      <c r="E95" s="10">
        <v>6128</v>
      </c>
      <c r="F95" s="10">
        <v>6096</v>
      </c>
      <c r="G95" s="10">
        <v>10</v>
      </c>
      <c r="H95" s="10">
        <v>1162</v>
      </c>
      <c r="I95" s="10">
        <v>3</v>
      </c>
      <c r="J95" s="12">
        <f t="shared" si="4"/>
        <v>0.18962140992167101</v>
      </c>
      <c r="K95" s="12">
        <f t="shared" si="5"/>
        <v>0.99477806788511747</v>
      </c>
      <c r="L95" s="12">
        <f t="shared" si="6"/>
        <v>2.5817555938037868E-3</v>
      </c>
      <c r="M95" s="12">
        <f t="shared" si="7"/>
        <v>8.6058519793459562E-3</v>
      </c>
    </row>
    <row r="96" spans="1:13" x14ac:dyDescent="0.3">
      <c r="A96" t="s">
        <v>279</v>
      </c>
      <c r="B96" s="4" t="s">
        <v>280</v>
      </c>
      <c r="C96" s="4" t="s">
        <v>176</v>
      </c>
      <c r="D96" s="5" t="s">
        <v>177</v>
      </c>
      <c r="E96" s="9">
        <v>161299</v>
      </c>
      <c r="F96" s="9">
        <v>160445</v>
      </c>
      <c r="G96" s="9">
        <v>201</v>
      </c>
      <c r="H96" s="9">
        <v>16170</v>
      </c>
      <c r="I96" s="9">
        <v>122</v>
      </c>
      <c r="J96" s="12">
        <f t="shared" si="4"/>
        <v>0.10024860662496358</v>
      </c>
      <c r="K96" s="12">
        <f t="shared" si="5"/>
        <v>0.99470548484491528</v>
      </c>
      <c r="L96" s="12">
        <f t="shared" si="6"/>
        <v>7.5448361162646881E-3</v>
      </c>
      <c r="M96" s="12">
        <f t="shared" si="7"/>
        <v>1.2430426716141E-2</v>
      </c>
    </row>
    <row r="97" spans="1:13" x14ac:dyDescent="0.3">
      <c r="A97" t="s">
        <v>271</v>
      </c>
      <c r="B97" s="6" t="s">
        <v>272</v>
      </c>
      <c r="C97" s="6" t="s">
        <v>178</v>
      </c>
      <c r="D97" s="7" t="s">
        <v>179</v>
      </c>
      <c r="E97" s="10">
        <v>5574</v>
      </c>
      <c r="F97" s="10">
        <v>5475</v>
      </c>
      <c r="G97" s="10">
        <v>34</v>
      </c>
      <c r="H97" s="10">
        <v>1012</v>
      </c>
      <c r="I97" s="10">
        <v>21</v>
      </c>
      <c r="J97" s="12">
        <f t="shared" si="4"/>
        <v>0.18155722999641191</v>
      </c>
      <c r="K97" s="12">
        <f t="shared" si="5"/>
        <v>0.9822389666307858</v>
      </c>
      <c r="L97" s="12">
        <f t="shared" si="6"/>
        <v>2.0750988142292492E-2</v>
      </c>
      <c r="M97" s="12">
        <f t="shared" si="7"/>
        <v>3.3596837944664032E-2</v>
      </c>
    </row>
    <row r="98" spans="1:13" x14ac:dyDescent="0.3">
      <c r="A98" t="s">
        <v>279</v>
      </c>
      <c r="B98" s="4" t="s">
        <v>280</v>
      </c>
      <c r="C98" s="4" t="s">
        <v>180</v>
      </c>
      <c r="D98" s="5" t="s">
        <v>181</v>
      </c>
      <c r="E98" s="9">
        <v>161614</v>
      </c>
      <c r="F98" s="9">
        <v>160921</v>
      </c>
      <c r="G98" s="9">
        <v>219</v>
      </c>
      <c r="H98" s="9">
        <v>17064</v>
      </c>
      <c r="I98" s="9">
        <v>129</v>
      </c>
      <c r="J98" s="12">
        <f t="shared" si="4"/>
        <v>0.10558491219820064</v>
      </c>
      <c r="K98" s="12">
        <f t="shared" si="5"/>
        <v>0.9957120051480689</v>
      </c>
      <c r="L98" s="12">
        <f t="shared" si="6"/>
        <v>7.5597749648382562E-3</v>
      </c>
      <c r="M98" s="12">
        <f t="shared" si="7"/>
        <v>1.2834036568213782E-2</v>
      </c>
    </row>
    <row r="99" spans="1:13" x14ac:dyDescent="0.3">
      <c r="A99" t="s">
        <v>277</v>
      </c>
      <c r="B99" s="6" t="s">
        <v>293</v>
      </c>
      <c r="C99" s="6" t="s">
        <v>182</v>
      </c>
      <c r="D99" s="7" t="s">
        <v>183</v>
      </c>
      <c r="E99" s="10">
        <v>7713</v>
      </c>
      <c r="F99" s="10">
        <v>7647</v>
      </c>
      <c r="G99" s="10">
        <v>51</v>
      </c>
      <c r="H99" s="10">
        <v>1453</v>
      </c>
      <c r="I99" s="10">
        <v>8</v>
      </c>
      <c r="J99" s="12">
        <f t="shared" si="4"/>
        <v>0.18838324906002854</v>
      </c>
      <c r="K99" s="12">
        <f t="shared" si="5"/>
        <v>0.9914430182808246</v>
      </c>
      <c r="L99" s="12">
        <f t="shared" si="6"/>
        <v>5.5058499655884375E-3</v>
      </c>
      <c r="M99" s="12">
        <f t="shared" si="7"/>
        <v>3.509979353062629E-2</v>
      </c>
    </row>
    <row r="100" spans="1:13" x14ac:dyDescent="0.3">
      <c r="A100" t="s">
        <v>273</v>
      </c>
      <c r="B100" s="4" t="s">
        <v>295</v>
      </c>
      <c r="C100" s="4" t="s">
        <v>184</v>
      </c>
      <c r="D100" s="5" t="s">
        <v>185</v>
      </c>
      <c r="E100" s="9">
        <v>184133</v>
      </c>
      <c r="F100" s="9">
        <v>182192</v>
      </c>
      <c r="G100" s="9">
        <v>314</v>
      </c>
      <c r="H100" s="9">
        <v>18663</v>
      </c>
      <c r="I100" s="9">
        <v>158</v>
      </c>
      <c r="J100" s="12">
        <f t="shared" si="4"/>
        <v>0.10135608500377444</v>
      </c>
      <c r="K100" s="12">
        <f t="shared" si="5"/>
        <v>0.98945870647846934</v>
      </c>
      <c r="L100" s="12">
        <f t="shared" si="6"/>
        <v>8.465948668488453E-3</v>
      </c>
      <c r="M100" s="12">
        <f t="shared" si="7"/>
        <v>1.6824733429780848E-2</v>
      </c>
    </row>
    <row r="101" spans="1:13" x14ac:dyDescent="0.3">
      <c r="A101" t="s">
        <v>271</v>
      </c>
      <c r="B101" s="6" t="s">
        <v>272</v>
      </c>
      <c r="C101" s="6" t="s">
        <v>186</v>
      </c>
      <c r="D101" s="7" t="s">
        <v>187</v>
      </c>
      <c r="E101" s="10">
        <v>5561</v>
      </c>
      <c r="F101" s="10">
        <v>5383</v>
      </c>
      <c r="G101" s="10">
        <v>57</v>
      </c>
      <c r="H101" s="10">
        <v>1236</v>
      </c>
      <c r="I101" s="10">
        <v>20</v>
      </c>
      <c r="J101" s="12">
        <f t="shared" si="4"/>
        <v>0.22226218306060061</v>
      </c>
      <c r="K101" s="12">
        <f t="shared" si="5"/>
        <v>0.96799136845891032</v>
      </c>
      <c r="L101" s="12">
        <f t="shared" si="6"/>
        <v>1.6181229773462785E-2</v>
      </c>
      <c r="M101" s="12">
        <f t="shared" si="7"/>
        <v>4.6116504854368932E-2</v>
      </c>
    </row>
    <row r="102" spans="1:13" x14ac:dyDescent="0.3">
      <c r="A102" t="s">
        <v>271</v>
      </c>
      <c r="B102" s="4" t="s">
        <v>274</v>
      </c>
      <c r="C102" s="4" t="s">
        <v>188</v>
      </c>
      <c r="D102" s="5" t="s">
        <v>189</v>
      </c>
      <c r="E102" s="9">
        <v>52</v>
      </c>
      <c r="F102" s="9">
        <v>42</v>
      </c>
      <c r="G102" s="9">
        <v>2</v>
      </c>
      <c r="H102" s="9">
        <v>19</v>
      </c>
      <c r="I102" s="9">
        <v>0</v>
      </c>
      <c r="J102" s="12">
        <f t="shared" si="4"/>
        <v>0.36538461538461542</v>
      </c>
      <c r="K102" s="12">
        <f t="shared" si="5"/>
        <v>0.80769230769230771</v>
      </c>
      <c r="L102" s="12">
        <f t="shared" si="6"/>
        <v>0</v>
      </c>
      <c r="M102" s="12">
        <f t="shared" si="7"/>
        <v>0.10526315789473685</v>
      </c>
    </row>
    <row r="103" spans="1:13" x14ac:dyDescent="0.3">
      <c r="A103" t="s">
        <v>273</v>
      </c>
      <c r="B103" s="6" t="s">
        <v>292</v>
      </c>
      <c r="C103" s="6" t="s">
        <v>190</v>
      </c>
      <c r="D103" s="7" t="s">
        <v>191</v>
      </c>
      <c r="E103" s="10">
        <v>76908</v>
      </c>
      <c r="F103" s="10">
        <v>76420</v>
      </c>
      <c r="G103" s="10">
        <v>250</v>
      </c>
      <c r="H103" s="10">
        <v>11625</v>
      </c>
      <c r="I103" s="10">
        <v>55</v>
      </c>
      <c r="J103" s="12">
        <f t="shared" si="4"/>
        <v>0.15115462630675613</v>
      </c>
      <c r="K103" s="12">
        <f t="shared" si="5"/>
        <v>0.9936547563322411</v>
      </c>
      <c r="L103" s="12">
        <f t="shared" si="6"/>
        <v>4.7311827956989247E-3</v>
      </c>
      <c r="M103" s="12">
        <f t="shared" si="7"/>
        <v>2.150537634408602E-2</v>
      </c>
    </row>
    <row r="104" spans="1:13" x14ac:dyDescent="0.3">
      <c r="A104" t="s">
        <v>281</v>
      </c>
      <c r="B104" s="4" t="s">
        <v>296</v>
      </c>
      <c r="C104" s="4" t="s">
        <v>192</v>
      </c>
      <c r="D104" s="5" t="s">
        <v>193</v>
      </c>
      <c r="E104" s="9">
        <v>4</v>
      </c>
      <c r="F104" s="9">
        <v>4</v>
      </c>
      <c r="G104" s="9">
        <v>2</v>
      </c>
      <c r="H104" s="9">
        <v>4</v>
      </c>
      <c r="I104" s="9">
        <v>1</v>
      </c>
      <c r="J104" s="12">
        <f t="shared" si="4"/>
        <v>1</v>
      </c>
      <c r="K104" s="12">
        <f t="shared" si="5"/>
        <v>1</v>
      </c>
      <c r="L104" s="12">
        <f t="shared" si="6"/>
        <v>0.25</v>
      </c>
      <c r="M104" s="12">
        <f t="shared" si="7"/>
        <v>0.5</v>
      </c>
    </row>
    <row r="105" spans="1:13" x14ac:dyDescent="0.3">
      <c r="A105" t="s">
        <v>279</v>
      </c>
      <c r="B105" s="6" t="s">
        <v>280</v>
      </c>
      <c r="C105" s="6" t="s">
        <v>194</v>
      </c>
      <c r="D105" s="7" t="s">
        <v>195</v>
      </c>
      <c r="E105" s="10">
        <v>162919</v>
      </c>
      <c r="F105" s="10">
        <v>161329</v>
      </c>
      <c r="G105" s="10">
        <v>220</v>
      </c>
      <c r="H105" s="10">
        <v>17027</v>
      </c>
      <c r="I105" s="10">
        <v>120</v>
      </c>
      <c r="J105" s="12">
        <f t="shared" si="4"/>
        <v>0.10451205813932077</v>
      </c>
      <c r="K105" s="12">
        <f t="shared" si="5"/>
        <v>0.99024054898446467</v>
      </c>
      <c r="L105" s="12">
        <f t="shared" si="6"/>
        <v>7.0476302343337053E-3</v>
      </c>
      <c r="M105" s="12">
        <f t="shared" si="7"/>
        <v>1.2920655429611794E-2</v>
      </c>
    </row>
    <row r="106" spans="1:13" x14ac:dyDescent="0.3">
      <c r="A106" t="s">
        <v>281</v>
      </c>
      <c r="B106" s="4" t="s">
        <v>286</v>
      </c>
      <c r="C106" s="4" t="s">
        <v>196</v>
      </c>
      <c r="D106" s="5" t="s">
        <v>197</v>
      </c>
      <c r="E106" s="9">
        <v>3792</v>
      </c>
      <c r="F106" s="9">
        <v>3772</v>
      </c>
      <c r="G106" s="9">
        <v>77</v>
      </c>
      <c r="H106" s="9">
        <v>1030</v>
      </c>
      <c r="I106" s="9">
        <v>55</v>
      </c>
      <c r="J106" s="12">
        <f t="shared" si="4"/>
        <v>0.27162447257383965</v>
      </c>
      <c r="K106" s="12">
        <f t="shared" si="5"/>
        <v>0.99472573839662448</v>
      </c>
      <c r="L106" s="12">
        <f t="shared" si="6"/>
        <v>5.3398058252427189E-2</v>
      </c>
      <c r="M106" s="12">
        <f t="shared" si="7"/>
        <v>7.4757281553398058E-2</v>
      </c>
    </row>
    <row r="107" spans="1:13" x14ac:dyDescent="0.3">
      <c r="A107" t="s">
        <v>281</v>
      </c>
      <c r="B107" s="6" t="s">
        <v>286</v>
      </c>
      <c r="C107" s="6" t="s">
        <v>198</v>
      </c>
      <c r="D107" s="7" t="s">
        <v>199</v>
      </c>
      <c r="E107" s="10">
        <v>3832</v>
      </c>
      <c r="F107" s="10">
        <v>3786</v>
      </c>
      <c r="G107" s="10">
        <v>70</v>
      </c>
      <c r="H107" s="10">
        <v>828</v>
      </c>
      <c r="I107" s="10">
        <v>4</v>
      </c>
      <c r="J107" s="12">
        <f t="shared" si="4"/>
        <v>0.21607515657620041</v>
      </c>
      <c r="K107" s="12">
        <f t="shared" si="5"/>
        <v>0.98799582463465552</v>
      </c>
      <c r="L107" s="12">
        <f t="shared" si="6"/>
        <v>4.830917874396135E-3</v>
      </c>
      <c r="M107" s="12">
        <f t="shared" si="7"/>
        <v>8.4541062801932368E-2</v>
      </c>
    </row>
    <row r="108" spans="1:13" x14ac:dyDescent="0.3">
      <c r="A108" t="s">
        <v>281</v>
      </c>
      <c r="B108" s="4" t="s">
        <v>286</v>
      </c>
      <c r="C108" s="4" t="s">
        <v>39</v>
      </c>
      <c r="D108" s="5" t="s">
        <v>200</v>
      </c>
      <c r="E108" s="9">
        <v>3856</v>
      </c>
      <c r="F108" s="9">
        <v>3798</v>
      </c>
      <c r="G108" s="9">
        <v>41</v>
      </c>
      <c r="H108" s="9">
        <v>745</v>
      </c>
      <c r="I108" s="9">
        <v>4</v>
      </c>
      <c r="J108" s="12">
        <f t="shared" si="4"/>
        <v>0.19320539419087138</v>
      </c>
      <c r="K108" s="12">
        <f t="shared" si="5"/>
        <v>0.98495850622406633</v>
      </c>
      <c r="L108" s="12">
        <f t="shared" si="6"/>
        <v>5.3691275167785232E-3</v>
      </c>
      <c r="M108" s="12">
        <f t="shared" si="7"/>
        <v>5.5033557046979861E-2</v>
      </c>
    </row>
    <row r="109" spans="1:13" x14ac:dyDescent="0.3">
      <c r="A109" t="s">
        <v>279</v>
      </c>
      <c r="B109" s="6" t="s">
        <v>280</v>
      </c>
      <c r="C109" s="6" t="s">
        <v>201</v>
      </c>
      <c r="D109" s="7" t="s">
        <v>202</v>
      </c>
      <c r="E109" s="10">
        <v>163191</v>
      </c>
      <c r="F109" s="10">
        <v>161599</v>
      </c>
      <c r="G109" s="10">
        <v>193</v>
      </c>
      <c r="H109" s="10">
        <v>16439</v>
      </c>
      <c r="I109" s="10">
        <v>144</v>
      </c>
      <c r="J109" s="12">
        <f t="shared" si="4"/>
        <v>0.10073472189030033</v>
      </c>
      <c r="K109" s="12">
        <f t="shared" si="5"/>
        <v>0.99024456005539518</v>
      </c>
      <c r="L109" s="12">
        <f t="shared" si="6"/>
        <v>8.7596569134375576E-3</v>
      </c>
      <c r="M109" s="12">
        <f t="shared" si="7"/>
        <v>1.1740373502037837E-2</v>
      </c>
    </row>
    <row r="110" spans="1:13" x14ac:dyDescent="0.3">
      <c r="A110" t="s">
        <v>273</v>
      </c>
      <c r="B110" s="4" t="s">
        <v>275</v>
      </c>
      <c r="C110" s="4" t="s">
        <v>174</v>
      </c>
      <c r="D110" s="5" t="s">
        <v>203</v>
      </c>
      <c r="E110" s="9">
        <v>6147</v>
      </c>
      <c r="F110" s="9">
        <v>6129</v>
      </c>
      <c r="G110" s="9">
        <v>7</v>
      </c>
      <c r="H110" s="9">
        <v>1169</v>
      </c>
      <c r="I110" s="9">
        <v>2</v>
      </c>
      <c r="J110" s="12">
        <f t="shared" si="4"/>
        <v>0.19017406865137468</v>
      </c>
      <c r="K110" s="12">
        <f t="shared" si="5"/>
        <v>0.99707174231332363</v>
      </c>
      <c r="L110" s="12">
        <f t="shared" si="6"/>
        <v>1.710863986313088E-3</v>
      </c>
      <c r="M110" s="12">
        <f t="shared" si="7"/>
        <v>5.9880239520958079E-3</v>
      </c>
    </row>
    <row r="111" spans="1:13" x14ac:dyDescent="0.3">
      <c r="A111" t="s">
        <v>273</v>
      </c>
      <c r="B111" s="6" t="s">
        <v>275</v>
      </c>
      <c r="C111" s="6" t="s">
        <v>204</v>
      </c>
      <c r="D111" s="7" t="s">
        <v>205</v>
      </c>
      <c r="E111" s="10">
        <v>6159</v>
      </c>
      <c r="F111" s="10">
        <v>6138</v>
      </c>
      <c r="G111" s="10">
        <v>9</v>
      </c>
      <c r="H111" s="10">
        <v>1195</v>
      </c>
      <c r="I111" s="10">
        <v>5</v>
      </c>
      <c r="J111" s="12">
        <f t="shared" si="4"/>
        <v>0.1940250040591005</v>
      </c>
      <c r="K111" s="12">
        <f t="shared" si="5"/>
        <v>0.9965903555772041</v>
      </c>
      <c r="L111" s="12">
        <f t="shared" si="6"/>
        <v>4.1841004184100415E-3</v>
      </c>
      <c r="M111" s="12">
        <f t="shared" si="7"/>
        <v>7.5313807531380752E-3</v>
      </c>
    </row>
    <row r="112" spans="1:13" x14ac:dyDescent="0.3">
      <c r="A112" t="s">
        <v>273</v>
      </c>
      <c r="B112" s="4" t="s">
        <v>295</v>
      </c>
      <c r="C112" s="4" t="s">
        <v>206</v>
      </c>
      <c r="D112" s="5" t="s">
        <v>207</v>
      </c>
      <c r="E112" s="9">
        <v>87640</v>
      </c>
      <c r="F112" s="9">
        <v>87202</v>
      </c>
      <c r="G112" s="9">
        <v>393</v>
      </c>
      <c r="H112" s="9">
        <v>10011</v>
      </c>
      <c r="I112" s="9">
        <v>78</v>
      </c>
      <c r="J112" s="12">
        <f t="shared" si="4"/>
        <v>0.11422866271109083</v>
      </c>
      <c r="K112" s="12">
        <f t="shared" si="5"/>
        <v>0.99500228206298491</v>
      </c>
      <c r="L112" s="12">
        <f t="shared" si="6"/>
        <v>7.791429427629607E-3</v>
      </c>
      <c r="M112" s="12">
        <f t="shared" si="7"/>
        <v>3.9256817500749178E-2</v>
      </c>
    </row>
    <row r="113" spans="1:13" x14ac:dyDescent="0.3">
      <c r="A113" t="s">
        <v>279</v>
      </c>
      <c r="B113" s="6" t="s">
        <v>280</v>
      </c>
      <c r="C113" s="6" t="s">
        <v>208</v>
      </c>
      <c r="D113" s="7" t="s">
        <v>209</v>
      </c>
      <c r="E113" s="10">
        <v>164066</v>
      </c>
      <c r="F113" s="10">
        <v>161857</v>
      </c>
      <c r="G113" s="10">
        <v>187</v>
      </c>
      <c r="H113" s="10">
        <v>16775</v>
      </c>
      <c r="I113" s="10">
        <v>330</v>
      </c>
      <c r="J113" s="12">
        <f t="shared" si="4"/>
        <v>0.1022454378116124</v>
      </c>
      <c r="K113" s="12">
        <f t="shared" si="5"/>
        <v>0.98653590628161836</v>
      </c>
      <c r="L113" s="12">
        <f t="shared" si="6"/>
        <v>1.9672131147540982E-2</v>
      </c>
      <c r="M113" s="12">
        <f t="shared" si="7"/>
        <v>1.1147540983606557E-2</v>
      </c>
    </row>
    <row r="114" spans="1:13" x14ac:dyDescent="0.3">
      <c r="A114" t="s">
        <v>281</v>
      </c>
      <c r="B114" s="4" t="s">
        <v>286</v>
      </c>
      <c r="C114" s="4" t="s">
        <v>210</v>
      </c>
      <c r="D114" s="5" t="s">
        <v>211</v>
      </c>
      <c r="E114" s="9">
        <v>3876</v>
      </c>
      <c r="F114" s="9">
        <v>3830</v>
      </c>
      <c r="G114" s="9">
        <v>87</v>
      </c>
      <c r="H114" s="9">
        <v>860</v>
      </c>
      <c r="I114" s="9">
        <v>9</v>
      </c>
      <c r="J114" s="12">
        <f t="shared" si="4"/>
        <v>0.22187822497420023</v>
      </c>
      <c r="K114" s="12">
        <f t="shared" si="5"/>
        <v>0.98813209494324039</v>
      </c>
      <c r="L114" s="12">
        <f t="shared" si="6"/>
        <v>1.0465116279069769E-2</v>
      </c>
      <c r="M114" s="12">
        <f t="shared" si="7"/>
        <v>0.10116279069767442</v>
      </c>
    </row>
    <row r="115" spans="1:13" x14ac:dyDescent="0.3">
      <c r="A115" t="s">
        <v>279</v>
      </c>
      <c r="B115" s="6" t="s">
        <v>280</v>
      </c>
      <c r="C115" s="6" t="s">
        <v>212</v>
      </c>
      <c r="D115" s="7" t="s">
        <v>213</v>
      </c>
      <c r="E115" s="10">
        <v>59504</v>
      </c>
      <c r="F115" s="10">
        <v>59311</v>
      </c>
      <c r="G115" s="10">
        <v>66</v>
      </c>
      <c r="H115" s="10">
        <v>5956</v>
      </c>
      <c r="I115" s="10">
        <v>23</v>
      </c>
      <c r="J115" s="12">
        <f t="shared" si="4"/>
        <v>0.10009411132024738</v>
      </c>
      <c r="K115" s="12">
        <f t="shared" si="5"/>
        <v>0.99675652057004571</v>
      </c>
      <c r="L115" s="12">
        <f t="shared" si="6"/>
        <v>3.861652115513768E-3</v>
      </c>
      <c r="M115" s="12">
        <f t="shared" si="7"/>
        <v>1.1081262592343854E-2</v>
      </c>
    </row>
    <row r="116" spans="1:13" x14ac:dyDescent="0.3">
      <c r="A116" t="s">
        <v>273</v>
      </c>
      <c r="B116" s="4" t="s">
        <v>297</v>
      </c>
      <c r="C116" s="4" t="s">
        <v>214</v>
      </c>
      <c r="D116" s="5" t="s">
        <v>215</v>
      </c>
      <c r="E116" s="9">
        <v>30475</v>
      </c>
      <c r="F116" s="9">
        <v>30319</v>
      </c>
      <c r="G116" s="9">
        <v>47</v>
      </c>
      <c r="H116" s="9">
        <v>4279</v>
      </c>
      <c r="I116" s="9">
        <v>18</v>
      </c>
      <c r="J116" s="12">
        <f t="shared" si="4"/>
        <v>0.14041017227235439</v>
      </c>
      <c r="K116" s="12">
        <f t="shared" si="5"/>
        <v>0.99488105004101723</v>
      </c>
      <c r="L116" s="12">
        <f t="shared" si="6"/>
        <v>4.2065903248422526E-3</v>
      </c>
      <c r="M116" s="12">
        <f t="shared" si="7"/>
        <v>1.0983874737088103E-2</v>
      </c>
    </row>
    <row r="117" spans="1:13" x14ac:dyDescent="0.3">
      <c r="A117" t="s">
        <v>273</v>
      </c>
      <c r="B117" s="6" t="s">
        <v>297</v>
      </c>
      <c r="C117" s="6" t="s">
        <v>216</v>
      </c>
      <c r="D117" s="7" t="s">
        <v>217</v>
      </c>
      <c r="E117" s="10">
        <v>30616</v>
      </c>
      <c r="F117" s="10">
        <v>26250</v>
      </c>
      <c r="G117" s="10">
        <v>31</v>
      </c>
      <c r="H117" s="10">
        <v>2701</v>
      </c>
      <c r="I117" s="10">
        <v>7</v>
      </c>
      <c r="J117" s="12">
        <f t="shared" si="4"/>
        <v>8.8221844787039455E-2</v>
      </c>
      <c r="K117" s="12">
        <f t="shared" si="5"/>
        <v>0.85739482623464847</v>
      </c>
      <c r="L117" s="12">
        <f t="shared" si="6"/>
        <v>2.5916327286190301E-3</v>
      </c>
      <c r="M117" s="12">
        <f t="shared" si="7"/>
        <v>1.1477230655312847E-2</v>
      </c>
    </row>
    <row r="118" spans="1:13" x14ac:dyDescent="0.3">
      <c r="A118" t="s">
        <v>273</v>
      </c>
      <c r="B118" s="4" t="s">
        <v>297</v>
      </c>
      <c r="C118" s="4" t="s">
        <v>218</v>
      </c>
      <c r="D118" s="5" t="s">
        <v>219</v>
      </c>
      <c r="E118" s="9">
        <v>30665</v>
      </c>
      <c r="F118" s="9">
        <v>30520</v>
      </c>
      <c r="G118" s="9">
        <v>73</v>
      </c>
      <c r="H118" s="9">
        <v>4149</v>
      </c>
      <c r="I118" s="9">
        <v>14</v>
      </c>
      <c r="J118" s="12">
        <f t="shared" si="4"/>
        <v>0.13530083156693298</v>
      </c>
      <c r="K118" s="12">
        <f t="shared" si="5"/>
        <v>0.99527148214576888</v>
      </c>
      <c r="L118" s="12">
        <f t="shared" si="6"/>
        <v>3.3743070619426368E-3</v>
      </c>
      <c r="M118" s="12">
        <f t="shared" si="7"/>
        <v>1.759460110870089E-2</v>
      </c>
    </row>
    <row r="119" spans="1:13" x14ac:dyDescent="0.3">
      <c r="A119" t="s">
        <v>273</v>
      </c>
      <c r="B119" s="6" t="s">
        <v>297</v>
      </c>
      <c r="C119" s="6" t="s">
        <v>220</v>
      </c>
      <c r="D119" s="7" t="s">
        <v>221</v>
      </c>
      <c r="E119" s="10">
        <v>30702</v>
      </c>
      <c r="F119" s="10">
        <v>30548</v>
      </c>
      <c r="G119" s="10">
        <v>230</v>
      </c>
      <c r="H119" s="10">
        <v>4409</v>
      </c>
      <c r="I119" s="10">
        <v>15</v>
      </c>
      <c r="J119" s="12">
        <f t="shared" si="4"/>
        <v>0.1436062797211908</v>
      </c>
      <c r="K119" s="12">
        <f t="shared" si="5"/>
        <v>0.99498404012767894</v>
      </c>
      <c r="L119" s="12">
        <f t="shared" si="6"/>
        <v>3.4021320027217057E-3</v>
      </c>
      <c r="M119" s="12">
        <f t="shared" si="7"/>
        <v>5.2166024041732824E-2</v>
      </c>
    </row>
    <row r="120" spans="1:13" x14ac:dyDescent="0.3">
      <c r="A120" t="s">
        <v>273</v>
      </c>
      <c r="B120" s="4" t="s">
        <v>297</v>
      </c>
      <c r="C120" s="4" t="s">
        <v>222</v>
      </c>
      <c r="D120" s="5" t="s">
        <v>223</v>
      </c>
      <c r="E120" s="9">
        <v>41</v>
      </c>
      <c r="F120" s="9">
        <v>41</v>
      </c>
      <c r="G120" s="9">
        <v>1</v>
      </c>
      <c r="H120" s="9">
        <v>7</v>
      </c>
      <c r="I120" s="9">
        <v>0</v>
      </c>
      <c r="J120" s="12">
        <f t="shared" si="4"/>
        <v>0.17073170731707318</v>
      </c>
      <c r="K120" s="12">
        <f t="shared" si="5"/>
        <v>1</v>
      </c>
      <c r="L120" s="12">
        <f t="shared" si="6"/>
        <v>0</v>
      </c>
      <c r="M120" s="12">
        <f t="shared" si="7"/>
        <v>0.14285714285714288</v>
      </c>
    </row>
    <row r="121" spans="1:13" x14ac:dyDescent="0.3">
      <c r="A121" t="s">
        <v>273</v>
      </c>
      <c r="B121" s="6" t="s">
        <v>298</v>
      </c>
      <c r="C121" s="6" t="s">
        <v>224</v>
      </c>
      <c r="D121" s="7" t="s">
        <v>225</v>
      </c>
      <c r="E121" s="10">
        <v>30759</v>
      </c>
      <c r="F121" s="10">
        <v>30567</v>
      </c>
      <c r="G121" s="10">
        <v>147</v>
      </c>
      <c r="H121" s="10">
        <v>4157</v>
      </c>
      <c r="I121" s="10">
        <v>15</v>
      </c>
      <c r="J121" s="12">
        <f t="shared" si="4"/>
        <v>0.1351474365226438</v>
      </c>
      <c r="K121" s="12">
        <f t="shared" si="5"/>
        <v>0.99375792450989953</v>
      </c>
      <c r="L121" s="12">
        <f t="shared" si="6"/>
        <v>3.6083714216983403E-3</v>
      </c>
      <c r="M121" s="12">
        <f t="shared" si="7"/>
        <v>3.5362039932643731E-2</v>
      </c>
    </row>
    <row r="122" spans="1:13" x14ac:dyDescent="0.3">
      <c r="A122" t="s">
        <v>279</v>
      </c>
      <c r="B122" s="4" t="s">
        <v>280</v>
      </c>
      <c r="C122" s="4" t="s">
        <v>226</v>
      </c>
      <c r="D122" s="5" t="s">
        <v>227</v>
      </c>
      <c r="E122" s="9">
        <v>59571</v>
      </c>
      <c r="F122" s="9">
        <v>59352</v>
      </c>
      <c r="G122" s="9">
        <v>93</v>
      </c>
      <c r="H122" s="9">
        <v>6190</v>
      </c>
      <c r="I122" s="9">
        <v>16</v>
      </c>
      <c r="J122" s="12">
        <f t="shared" si="4"/>
        <v>0.10390962045290493</v>
      </c>
      <c r="K122" s="12">
        <f t="shared" si="5"/>
        <v>0.99632371455909752</v>
      </c>
      <c r="L122" s="12">
        <f t="shared" si="6"/>
        <v>2.5848142164781908E-3</v>
      </c>
      <c r="M122" s="12">
        <f t="shared" si="7"/>
        <v>1.5024232633279485E-2</v>
      </c>
    </row>
    <row r="123" spans="1:13" x14ac:dyDescent="0.3">
      <c r="A123" t="s">
        <v>279</v>
      </c>
      <c r="B123" s="6" t="s">
        <v>280</v>
      </c>
      <c r="C123" s="6" t="s">
        <v>228</v>
      </c>
      <c r="D123" s="7" t="s">
        <v>229</v>
      </c>
      <c r="E123" s="10">
        <v>59608</v>
      </c>
      <c r="F123" s="10">
        <v>59395</v>
      </c>
      <c r="G123" s="10">
        <v>70</v>
      </c>
      <c r="H123" s="10">
        <v>6089</v>
      </c>
      <c r="I123" s="10">
        <v>31</v>
      </c>
      <c r="J123" s="12">
        <f t="shared" si="4"/>
        <v>0.10215071802442624</v>
      </c>
      <c r="K123" s="12">
        <f t="shared" si="5"/>
        <v>0.99642665414038389</v>
      </c>
      <c r="L123" s="12">
        <f t="shared" si="6"/>
        <v>5.0911479717523399E-3</v>
      </c>
      <c r="M123" s="12">
        <f t="shared" si="7"/>
        <v>1.1496140581376253E-2</v>
      </c>
    </row>
    <row r="124" spans="1:13" x14ac:dyDescent="0.3">
      <c r="A124" t="s">
        <v>279</v>
      </c>
      <c r="B124" s="4" t="s">
        <v>280</v>
      </c>
      <c r="C124" s="4" t="s">
        <v>230</v>
      </c>
      <c r="D124" s="5" t="s">
        <v>231</v>
      </c>
      <c r="E124" s="9">
        <v>59652</v>
      </c>
      <c r="F124" s="9">
        <v>59467</v>
      </c>
      <c r="G124" s="9">
        <v>246</v>
      </c>
      <c r="H124" s="9">
        <v>6309</v>
      </c>
      <c r="I124" s="9">
        <v>19</v>
      </c>
      <c r="J124" s="12">
        <f t="shared" si="4"/>
        <v>0.10576342788171393</v>
      </c>
      <c r="K124" s="12">
        <f t="shared" si="5"/>
        <v>0.99689867900489504</v>
      </c>
      <c r="L124" s="12">
        <f t="shared" si="6"/>
        <v>3.0115707719131401E-3</v>
      </c>
      <c r="M124" s="12">
        <f t="shared" si="7"/>
        <v>3.8991916310033285E-2</v>
      </c>
    </row>
    <row r="125" spans="1:13" x14ac:dyDescent="0.3">
      <c r="A125" t="s">
        <v>279</v>
      </c>
      <c r="B125" s="6" t="s">
        <v>280</v>
      </c>
      <c r="C125" s="6" t="s">
        <v>232</v>
      </c>
      <c r="D125" s="7" t="s">
        <v>233</v>
      </c>
      <c r="E125" s="10">
        <v>59697</v>
      </c>
      <c r="F125" s="10">
        <v>59463</v>
      </c>
      <c r="G125" s="10">
        <v>66</v>
      </c>
      <c r="H125" s="10">
        <v>6158</v>
      </c>
      <c r="I125" s="10">
        <v>28</v>
      </c>
      <c r="J125" s="12">
        <f t="shared" si="4"/>
        <v>0.10315426235824246</v>
      </c>
      <c r="K125" s="12">
        <f t="shared" si="5"/>
        <v>0.99608020503542893</v>
      </c>
      <c r="L125" s="12">
        <f t="shared" si="6"/>
        <v>4.5469308216953561E-3</v>
      </c>
      <c r="M125" s="12">
        <f t="shared" si="7"/>
        <v>1.0717765508281909E-2</v>
      </c>
    </row>
    <row r="126" spans="1:13" x14ac:dyDescent="0.3">
      <c r="A126" t="s">
        <v>271</v>
      </c>
      <c r="B126" s="4" t="s">
        <v>299</v>
      </c>
      <c r="C126" s="4" t="s">
        <v>234</v>
      </c>
      <c r="D126" s="5" t="s">
        <v>235</v>
      </c>
      <c r="E126" s="9">
        <v>35</v>
      </c>
      <c r="F126" s="9">
        <v>34</v>
      </c>
      <c r="G126" s="9">
        <v>3</v>
      </c>
      <c r="H126" s="9">
        <v>12</v>
      </c>
      <c r="I126" s="9">
        <v>1</v>
      </c>
      <c r="J126" s="12">
        <f t="shared" si="4"/>
        <v>0.34285714285714286</v>
      </c>
      <c r="K126" s="12">
        <f t="shared" si="5"/>
        <v>0.97142857142857142</v>
      </c>
      <c r="L126" s="12">
        <f t="shared" si="6"/>
        <v>8.3333333333333343E-2</v>
      </c>
      <c r="M126" s="12">
        <f t="shared" si="7"/>
        <v>0.25</v>
      </c>
    </row>
    <row r="127" spans="1:13" x14ac:dyDescent="0.3">
      <c r="A127" t="s">
        <v>273</v>
      </c>
      <c r="B127" s="6" t="s">
        <v>299</v>
      </c>
      <c r="C127" s="6" t="s">
        <v>234</v>
      </c>
      <c r="D127" s="7" t="s">
        <v>236</v>
      </c>
      <c r="E127" s="10">
        <v>91</v>
      </c>
      <c r="F127" s="10">
        <v>89</v>
      </c>
      <c r="G127" s="10">
        <v>0</v>
      </c>
      <c r="H127" s="10">
        <v>31</v>
      </c>
      <c r="I127" s="10">
        <v>0</v>
      </c>
      <c r="J127" s="12">
        <f t="shared" si="4"/>
        <v>0.34065934065934067</v>
      </c>
      <c r="K127" s="12">
        <f t="shared" si="5"/>
        <v>0.97802197802197799</v>
      </c>
      <c r="L127" s="12">
        <f t="shared" si="6"/>
        <v>0</v>
      </c>
      <c r="M127" s="12">
        <f t="shared" si="7"/>
        <v>0</v>
      </c>
    </row>
    <row r="128" spans="1:13" x14ac:dyDescent="0.3">
      <c r="A128" t="s">
        <v>281</v>
      </c>
      <c r="B128" s="4" t="s">
        <v>299</v>
      </c>
      <c r="C128" s="4" t="s">
        <v>234</v>
      </c>
      <c r="D128" s="5" t="s">
        <v>237</v>
      </c>
      <c r="E128" s="9">
        <v>29</v>
      </c>
      <c r="F128" s="9">
        <v>28</v>
      </c>
      <c r="G128" s="9">
        <v>4</v>
      </c>
      <c r="H128" s="9">
        <v>11</v>
      </c>
      <c r="I128" s="9">
        <v>0</v>
      </c>
      <c r="J128" s="12">
        <f t="shared" si="4"/>
        <v>0.37931034482758619</v>
      </c>
      <c r="K128" s="12">
        <f t="shared" si="5"/>
        <v>0.96551724137931028</v>
      </c>
      <c r="L128" s="12">
        <f t="shared" si="6"/>
        <v>0</v>
      </c>
      <c r="M128" s="12">
        <f t="shared" si="7"/>
        <v>0.36363636363636365</v>
      </c>
    </row>
    <row r="129" spans="1:13" x14ac:dyDescent="0.3">
      <c r="A129" t="s">
        <v>273</v>
      </c>
      <c r="B129" s="6" t="s">
        <v>299</v>
      </c>
      <c r="C129" s="6" t="s">
        <v>234</v>
      </c>
      <c r="D129" s="7" t="s">
        <v>238</v>
      </c>
      <c r="E129" s="10">
        <v>38</v>
      </c>
      <c r="F129" s="10">
        <v>36</v>
      </c>
      <c r="G129" s="10">
        <v>2</v>
      </c>
      <c r="H129" s="10">
        <v>22</v>
      </c>
      <c r="I129" s="10">
        <v>0</v>
      </c>
      <c r="J129" s="12">
        <f t="shared" si="4"/>
        <v>0.57894736842105265</v>
      </c>
      <c r="K129" s="12">
        <f t="shared" si="5"/>
        <v>0.94736842105263164</v>
      </c>
      <c r="L129" s="12">
        <f t="shared" si="6"/>
        <v>0</v>
      </c>
      <c r="M129" s="12">
        <f t="shared" si="7"/>
        <v>9.0909090909090912E-2</v>
      </c>
    </row>
    <row r="130" spans="1:13" x14ac:dyDescent="0.3">
      <c r="A130" t="s">
        <v>273</v>
      </c>
      <c r="B130" s="4" t="s">
        <v>275</v>
      </c>
      <c r="C130" s="4" t="s">
        <v>239</v>
      </c>
      <c r="D130" s="5" t="s">
        <v>240</v>
      </c>
      <c r="E130" s="9">
        <v>6219</v>
      </c>
      <c r="F130" s="9">
        <v>6192</v>
      </c>
      <c r="G130" s="9">
        <v>15</v>
      </c>
      <c r="H130" s="9">
        <v>1162</v>
      </c>
      <c r="I130" s="9">
        <v>2</v>
      </c>
      <c r="J130" s="12">
        <f t="shared" si="4"/>
        <v>0.1868467599292491</v>
      </c>
      <c r="K130" s="12">
        <f t="shared" si="5"/>
        <v>0.99565846599131691</v>
      </c>
      <c r="L130" s="12">
        <f t="shared" si="6"/>
        <v>1.7211703958691909E-3</v>
      </c>
      <c r="M130" s="12">
        <f t="shared" si="7"/>
        <v>1.2908777969018933E-2</v>
      </c>
    </row>
    <row r="131" spans="1:13" x14ac:dyDescent="0.3">
      <c r="A131" t="s">
        <v>273</v>
      </c>
      <c r="B131" s="6" t="s">
        <v>275</v>
      </c>
      <c r="C131" s="6" t="s">
        <v>241</v>
      </c>
      <c r="D131" s="7" t="s">
        <v>242</v>
      </c>
      <c r="E131" s="10">
        <v>6229</v>
      </c>
      <c r="F131" s="10">
        <v>6199</v>
      </c>
      <c r="G131" s="10">
        <v>10</v>
      </c>
      <c r="H131" s="10">
        <v>1184</v>
      </c>
      <c r="I131" s="10">
        <v>1</v>
      </c>
      <c r="J131" s="12">
        <f t="shared" ref="J131:J145" si="8">IFERROR(H131*100/E131/100,0)</f>
        <v>0.19007866431208861</v>
      </c>
      <c r="K131" s="12">
        <f t="shared" ref="K131:K145" si="9">IFERROR(F131*100/E131/100,0)</f>
        <v>0.99518381762722752</v>
      </c>
      <c r="L131" s="12">
        <f t="shared" ref="L131:L145" si="10">IFERROR(I131*100/H131/100,0)</f>
        <v>8.4459459459459453E-4</v>
      </c>
      <c r="M131" s="12">
        <f t="shared" ref="M131:M145" si="11">IFERROR(G131*100/H131/100,0)</f>
        <v>8.4459459459459464E-3</v>
      </c>
    </row>
    <row r="132" spans="1:13" x14ac:dyDescent="0.3">
      <c r="A132" t="s">
        <v>273</v>
      </c>
      <c r="B132" s="4" t="s">
        <v>276</v>
      </c>
      <c r="C132" s="4" t="s">
        <v>243</v>
      </c>
      <c r="D132" s="5" t="s">
        <v>244</v>
      </c>
      <c r="E132" s="9">
        <v>76033</v>
      </c>
      <c r="F132" s="9">
        <v>75465</v>
      </c>
      <c r="G132" s="9">
        <v>147</v>
      </c>
      <c r="H132" s="9">
        <v>7031</v>
      </c>
      <c r="I132" s="9">
        <v>146</v>
      </c>
      <c r="J132" s="12">
        <f t="shared" si="8"/>
        <v>9.2473005142503908E-2</v>
      </c>
      <c r="K132" s="12">
        <f t="shared" si="9"/>
        <v>0.99252955953336053</v>
      </c>
      <c r="L132" s="12">
        <f t="shared" si="10"/>
        <v>2.076518276205376E-2</v>
      </c>
      <c r="M132" s="12">
        <f t="shared" si="11"/>
        <v>2.0907410041245914E-2</v>
      </c>
    </row>
    <row r="133" spans="1:13" x14ac:dyDescent="0.3">
      <c r="A133" t="s">
        <v>273</v>
      </c>
      <c r="B133" s="6" t="s">
        <v>276</v>
      </c>
      <c r="C133" s="6" t="s">
        <v>245</v>
      </c>
      <c r="D133" s="7" t="s">
        <v>246</v>
      </c>
      <c r="E133" s="10">
        <v>76677</v>
      </c>
      <c r="F133" s="10">
        <v>75643</v>
      </c>
      <c r="G133" s="10">
        <v>223</v>
      </c>
      <c r="H133" s="10">
        <v>7660</v>
      </c>
      <c r="I133" s="10">
        <v>140</v>
      </c>
      <c r="J133" s="12">
        <f t="shared" si="8"/>
        <v>9.9899578752429025E-2</v>
      </c>
      <c r="K133" s="12">
        <f t="shared" si="9"/>
        <v>0.98651486104046837</v>
      </c>
      <c r="L133" s="12">
        <f t="shared" si="10"/>
        <v>1.8276762402088774E-2</v>
      </c>
      <c r="M133" s="12">
        <f t="shared" si="11"/>
        <v>2.9112271540469973E-2</v>
      </c>
    </row>
    <row r="134" spans="1:13" x14ac:dyDescent="0.3">
      <c r="A134" t="s">
        <v>281</v>
      </c>
      <c r="B134" s="4" t="s">
        <v>278</v>
      </c>
      <c r="C134" s="4" t="s">
        <v>247</v>
      </c>
      <c r="D134" s="5" t="s">
        <v>248</v>
      </c>
      <c r="E134" s="9">
        <v>1</v>
      </c>
      <c r="F134" s="9">
        <v>1</v>
      </c>
      <c r="G134" s="9">
        <v>0</v>
      </c>
      <c r="H134" s="9">
        <v>1</v>
      </c>
      <c r="I134" s="9">
        <v>0</v>
      </c>
      <c r="J134" s="12">
        <f t="shared" si="8"/>
        <v>1</v>
      </c>
      <c r="K134" s="12">
        <f t="shared" si="9"/>
        <v>1</v>
      </c>
      <c r="L134" s="12">
        <f t="shared" si="10"/>
        <v>0</v>
      </c>
      <c r="M134" s="12">
        <f t="shared" si="11"/>
        <v>0</v>
      </c>
    </row>
    <row r="135" spans="1:13" x14ac:dyDescent="0.3">
      <c r="A135" t="s">
        <v>281</v>
      </c>
      <c r="B135" s="6" t="s">
        <v>278</v>
      </c>
      <c r="C135" s="6" t="s">
        <v>249</v>
      </c>
      <c r="D135" s="7" t="s">
        <v>250</v>
      </c>
      <c r="E135" s="10">
        <v>1</v>
      </c>
      <c r="F135" s="10">
        <v>1</v>
      </c>
      <c r="G135" s="10">
        <v>0</v>
      </c>
      <c r="H135" s="10">
        <v>1</v>
      </c>
      <c r="I135" s="10">
        <v>0</v>
      </c>
      <c r="J135" s="12">
        <f t="shared" si="8"/>
        <v>1</v>
      </c>
      <c r="K135" s="12">
        <f t="shared" si="9"/>
        <v>1</v>
      </c>
      <c r="L135" s="12">
        <f t="shared" si="10"/>
        <v>0</v>
      </c>
      <c r="M135" s="12">
        <f t="shared" si="11"/>
        <v>0</v>
      </c>
    </row>
    <row r="136" spans="1:13" x14ac:dyDescent="0.3">
      <c r="A136" t="s">
        <v>281</v>
      </c>
      <c r="B136" s="4" t="s">
        <v>278</v>
      </c>
      <c r="C136" s="4" t="s">
        <v>251</v>
      </c>
      <c r="D136" s="5" t="s">
        <v>105</v>
      </c>
      <c r="E136" s="9">
        <v>6</v>
      </c>
      <c r="F136" s="9">
        <v>6</v>
      </c>
      <c r="G136" s="9">
        <v>0</v>
      </c>
      <c r="H136" s="9">
        <v>4</v>
      </c>
      <c r="I136" s="9">
        <v>0</v>
      </c>
      <c r="J136" s="12">
        <f t="shared" si="8"/>
        <v>0.66666666666666674</v>
      </c>
      <c r="K136" s="12">
        <f t="shared" si="9"/>
        <v>1</v>
      </c>
      <c r="L136" s="12">
        <f t="shared" si="10"/>
        <v>0</v>
      </c>
      <c r="M136" s="12">
        <f t="shared" si="11"/>
        <v>0</v>
      </c>
    </row>
    <row r="137" spans="1:13" x14ac:dyDescent="0.3">
      <c r="A137" t="s">
        <v>281</v>
      </c>
      <c r="B137" s="6" t="s">
        <v>278</v>
      </c>
      <c r="C137" s="6" t="s">
        <v>252</v>
      </c>
      <c r="D137" s="7" t="s">
        <v>253</v>
      </c>
      <c r="E137" s="10">
        <v>9</v>
      </c>
      <c r="F137" s="10">
        <v>9</v>
      </c>
      <c r="G137" s="10">
        <v>2</v>
      </c>
      <c r="H137" s="10">
        <v>3</v>
      </c>
      <c r="I137" s="10">
        <v>1</v>
      </c>
      <c r="J137" s="12">
        <f t="shared" si="8"/>
        <v>0.33333333333333337</v>
      </c>
      <c r="K137" s="12">
        <f t="shared" si="9"/>
        <v>1</v>
      </c>
      <c r="L137" s="12">
        <f t="shared" si="10"/>
        <v>0.33333333333333337</v>
      </c>
      <c r="M137" s="12">
        <f t="shared" si="11"/>
        <v>0.66666666666666674</v>
      </c>
    </row>
    <row r="138" spans="1:13" x14ac:dyDescent="0.3">
      <c r="A138" t="s">
        <v>281</v>
      </c>
      <c r="B138" s="4" t="s">
        <v>278</v>
      </c>
      <c r="C138" s="4" t="s">
        <v>254</v>
      </c>
      <c r="D138" s="5" t="s">
        <v>255</v>
      </c>
      <c r="E138" s="9">
        <v>1081</v>
      </c>
      <c r="F138" s="9">
        <v>1018</v>
      </c>
      <c r="G138" s="9">
        <v>5</v>
      </c>
      <c r="H138" s="9">
        <v>301</v>
      </c>
      <c r="I138" s="9">
        <v>4</v>
      </c>
      <c r="J138" s="12">
        <f t="shared" si="8"/>
        <v>0.27844588344125809</v>
      </c>
      <c r="K138" s="12">
        <f t="shared" si="9"/>
        <v>0.94172062904717846</v>
      </c>
      <c r="L138" s="12">
        <f t="shared" si="10"/>
        <v>1.3289036544850499E-2</v>
      </c>
      <c r="M138" s="12">
        <f t="shared" si="11"/>
        <v>1.6611295681063124E-2</v>
      </c>
    </row>
    <row r="139" spans="1:13" x14ac:dyDescent="0.3">
      <c r="A139" t="s">
        <v>281</v>
      </c>
      <c r="B139" s="6" t="s">
        <v>278</v>
      </c>
      <c r="C139" s="6" t="s">
        <v>256</v>
      </c>
      <c r="D139" s="7" t="s">
        <v>257</v>
      </c>
      <c r="E139" s="10">
        <v>1097</v>
      </c>
      <c r="F139" s="10">
        <v>1031</v>
      </c>
      <c r="G139" s="10">
        <v>9</v>
      </c>
      <c r="H139" s="10">
        <v>257</v>
      </c>
      <c r="I139" s="10">
        <v>2</v>
      </c>
      <c r="J139" s="12">
        <f t="shared" si="8"/>
        <v>0.23427529626253418</v>
      </c>
      <c r="K139" s="12">
        <f t="shared" si="9"/>
        <v>0.93983591613491346</v>
      </c>
      <c r="L139" s="12">
        <f t="shared" si="10"/>
        <v>7.7821011673151752E-3</v>
      </c>
      <c r="M139" s="12">
        <f t="shared" si="11"/>
        <v>3.5019455252918288E-2</v>
      </c>
    </row>
    <row r="140" spans="1:13" x14ac:dyDescent="0.3">
      <c r="A140" t="s">
        <v>277</v>
      </c>
      <c r="B140" s="4" t="s">
        <v>278</v>
      </c>
      <c r="C140" s="4" t="s">
        <v>258</v>
      </c>
      <c r="D140" s="5" t="s">
        <v>259</v>
      </c>
      <c r="E140" s="9">
        <v>1</v>
      </c>
      <c r="F140" s="9">
        <v>1</v>
      </c>
      <c r="G140" s="9">
        <v>0</v>
      </c>
      <c r="H140" s="9">
        <v>0</v>
      </c>
      <c r="I140" s="9">
        <v>0</v>
      </c>
      <c r="J140" s="12">
        <f t="shared" si="8"/>
        <v>0</v>
      </c>
      <c r="K140" s="12">
        <f t="shared" si="9"/>
        <v>1</v>
      </c>
      <c r="L140" s="12">
        <f t="shared" si="10"/>
        <v>0</v>
      </c>
      <c r="M140" s="12">
        <f t="shared" si="11"/>
        <v>0</v>
      </c>
    </row>
    <row r="141" spans="1:13" x14ac:dyDescent="0.3">
      <c r="A141" t="s">
        <v>277</v>
      </c>
      <c r="B141" s="6" t="s">
        <v>278</v>
      </c>
      <c r="C141" s="6" t="s">
        <v>260</v>
      </c>
      <c r="D141" s="7" t="s">
        <v>261</v>
      </c>
      <c r="E141" s="10">
        <v>2</v>
      </c>
      <c r="F141" s="10">
        <v>2</v>
      </c>
      <c r="G141" s="10">
        <v>1</v>
      </c>
      <c r="H141" s="10">
        <v>1</v>
      </c>
      <c r="I141" s="10">
        <v>0</v>
      </c>
      <c r="J141" s="12">
        <f t="shared" si="8"/>
        <v>0.5</v>
      </c>
      <c r="K141" s="12">
        <f t="shared" si="9"/>
        <v>1</v>
      </c>
      <c r="L141" s="12">
        <f t="shared" si="10"/>
        <v>0</v>
      </c>
      <c r="M141" s="12">
        <f t="shared" si="11"/>
        <v>1</v>
      </c>
    </row>
    <row r="142" spans="1:13" x14ac:dyDescent="0.3">
      <c r="A142" t="s">
        <v>277</v>
      </c>
      <c r="B142" s="4" t="s">
        <v>278</v>
      </c>
      <c r="C142" s="4" t="s">
        <v>262</v>
      </c>
      <c r="D142" s="5" t="s">
        <v>263</v>
      </c>
      <c r="E142" s="9">
        <v>18</v>
      </c>
      <c r="F142" s="9">
        <v>18</v>
      </c>
      <c r="G142" s="9">
        <v>0</v>
      </c>
      <c r="H142" s="9">
        <v>9</v>
      </c>
      <c r="I142" s="9">
        <v>0</v>
      </c>
      <c r="J142" s="12">
        <f t="shared" si="8"/>
        <v>0.5</v>
      </c>
      <c r="K142" s="12">
        <f t="shared" si="9"/>
        <v>1</v>
      </c>
      <c r="L142" s="12">
        <f t="shared" si="10"/>
        <v>0</v>
      </c>
      <c r="M142" s="12">
        <f t="shared" si="11"/>
        <v>0</v>
      </c>
    </row>
    <row r="143" spans="1:13" x14ac:dyDescent="0.3">
      <c r="A143" t="s">
        <v>277</v>
      </c>
      <c r="B143" s="6" t="s">
        <v>278</v>
      </c>
      <c r="C143" s="6" t="s">
        <v>264</v>
      </c>
      <c r="D143" s="7" t="s">
        <v>265</v>
      </c>
      <c r="E143" s="10">
        <v>20</v>
      </c>
      <c r="F143" s="10">
        <v>19</v>
      </c>
      <c r="G143" s="10">
        <v>3</v>
      </c>
      <c r="H143" s="10">
        <v>10</v>
      </c>
      <c r="I143" s="10">
        <v>0</v>
      </c>
      <c r="J143" s="12">
        <f t="shared" si="8"/>
        <v>0.5</v>
      </c>
      <c r="K143" s="12">
        <f t="shared" si="9"/>
        <v>0.95</v>
      </c>
      <c r="L143" s="12">
        <f t="shared" si="10"/>
        <v>0</v>
      </c>
      <c r="M143" s="12">
        <f t="shared" si="11"/>
        <v>0.3</v>
      </c>
    </row>
    <row r="144" spans="1:13" x14ac:dyDescent="0.3">
      <c r="A144" t="s">
        <v>277</v>
      </c>
      <c r="B144" s="4" t="s">
        <v>278</v>
      </c>
      <c r="C144" s="4" t="s">
        <v>266</v>
      </c>
      <c r="D144" s="5" t="s">
        <v>267</v>
      </c>
      <c r="E144" s="9">
        <v>3575</v>
      </c>
      <c r="F144" s="9">
        <v>3412</v>
      </c>
      <c r="G144" s="9">
        <v>24</v>
      </c>
      <c r="H144" s="9">
        <v>542</v>
      </c>
      <c r="I144" s="9">
        <v>7</v>
      </c>
      <c r="J144" s="12">
        <f t="shared" si="8"/>
        <v>0.15160839160839162</v>
      </c>
      <c r="K144" s="12">
        <f t="shared" si="9"/>
        <v>0.95440559440559436</v>
      </c>
      <c r="L144" s="12">
        <f t="shared" si="10"/>
        <v>1.2915129151291513E-2</v>
      </c>
      <c r="M144" s="12">
        <f t="shared" si="11"/>
        <v>4.4280442804428048E-2</v>
      </c>
    </row>
    <row r="145" spans="1:13" x14ac:dyDescent="0.3">
      <c r="A145" t="s">
        <v>277</v>
      </c>
      <c r="B145" s="6" t="s">
        <v>278</v>
      </c>
      <c r="C145" s="6" t="s">
        <v>268</v>
      </c>
      <c r="D145" s="7" t="s">
        <v>269</v>
      </c>
      <c r="E145" s="10">
        <v>3632</v>
      </c>
      <c r="F145" s="10">
        <v>3458</v>
      </c>
      <c r="G145" s="10">
        <v>25</v>
      </c>
      <c r="H145" s="10">
        <v>832</v>
      </c>
      <c r="I145" s="10">
        <v>13</v>
      </c>
      <c r="J145" s="12">
        <f t="shared" si="8"/>
        <v>0.22907488986784141</v>
      </c>
      <c r="K145" s="12">
        <f t="shared" si="9"/>
        <v>0.95209251101321579</v>
      </c>
      <c r="L145" s="12">
        <f t="shared" si="10"/>
        <v>1.5625E-2</v>
      </c>
      <c r="M145" s="12">
        <f t="shared" si="11"/>
        <v>3.0048076923076924E-2</v>
      </c>
    </row>
    <row r="146" spans="1:13" x14ac:dyDescent="0.3">
      <c r="J146" s="12"/>
      <c r="K146" s="12"/>
      <c r="L146" s="12"/>
      <c r="M146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Amorim</dc:creator>
  <cp:lastModifiedBy>Emily Amorim</cp:lastModifiedBy>
  <dcterms:created xsi:type="dcterms:W3CDTF">2026-03-19T14:51:44Z</dcterms:created>
  <dcterms:modified xsi:type="dcterms:W3CDTF">2026-03-19T15:21:33Z</dcterms:modified>
</cp:coreProperties>
</file>